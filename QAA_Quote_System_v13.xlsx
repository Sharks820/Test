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500HR" sheetId="2" state="visible" r:id="rId2"/>
    <sheet name="Cust Property" sheetId="3" state="visible" r:id="rId3"/>
    <sheet name="Exchange" sheetId="4" state="visible" r:id="rId4"/>
    <sheet name="Quote Tracker" sheetId="5" state="visible" r:id="rId5"/>
    <sheet name="Parts Master" sheetId="6" state="visible" r:id="rId6"/>
    <sheet name="BOM" sheetId="7" state="visible" r:id="rId7"/>
    <sheet name="Config" sheetId="8" state="visible" r:id="rId8"/>
  </sheets>
  <definedNames>
    <definedName name="_xlnm.Print_Area" localSheetId="1">'500HR'!$A$1:$J$37</definedName>
    <definedName name="_xlnm.Print_Area" localSheetId="2">'Cust Property'!$A$1:$I$36</definedName>
    <definedName name="_xlnm.Print_Area" localSheetId="3">'Exchange'!$A$1:$J$31</definedName>
    <definedName name="_xlnm._FilterDatabase" localSheetId="4" hidden="1">'Quote Tracker'!$A$3:$M$53</definedName>
  </definedNames>
  <calcPr calcId="124519" fullCalcOnLoad="1"/>
</workbook>
</file>

<file path=xl/styles.xml><?xml version="1.0" encoding="utf-8"?>
<styleSheet xmlns="http://schemas.openxmlformats.org/spreadsheetml/2006/main">
  <numFmts count="3">
    <numFmt numFmtId="164" formatCode="MM/DD/YYYY"/>
    <numFmt numFmtId="165" formatCode="$#,##0.00"/>
    <numFmt numFmtId="166" formatCode="MM/DD/YY"/>
  </numFmts>
  <fonts count="33">
    <font>
      <name val="Calibri"/>
      <family val="2"/>
      <color theme="1"/>
      <sz val="11"/>
      <scheme val="minor"/>
    </font>
    <font>
      <b val="1"/>
      <color rgb="001B365D"/>
      <sz val="22"/>
    </font>
    <font>
      <i val="1"/>
      <color rgb="0000A3E0"/>
      <sz val="11"/>
    </font>
    <font>
      <b val="1"/>
      <color rgb="00FFFFFF"/>
      <sz val="18"/>
    </font>
    <font>
      <b val="1"/>
      <color rgb="001B365D"/>
      <sz val="12"/>
    </font>
    <font>
      <b val="1"/>
      <color rgb="001B365D"/>
      <sz val="11"/>
    </font>
    <font>
      <color rgb="00666666"/>
      <sz val="9"/>
    </font>
    <font>
      <b val="1"/>
      <color rgb="00FFFFFF"/>
      <sz val="14"/>
    </font>
    <font>
      <color rgb="00666666"/>
      <sz val="10"/>
    </font>
    <font>
      <name val="Calibri"/>
      <b val="1"/>
      <color rgb="001B365D"/>
      <sz val="18"/>
    </font>
    <font>
      <name val="Calibri"/>
      <i val="1"/>
      <color rgb="0000A3E0"/>
      <sz val="10"/>
    </font>
    <font>
      <name val="Calibri"/>
      <b val="1"/>
      <color rgb="00FFFFFF"/>
      <sz val="11"/>
    </font>
    <font>
      <name val="Calibri"/>
      <b val="1"/>
      <color rgb="00FFFFFF"/>
      <sz val="12"/>
    </font>
    <font>
      <b val="1"/>
      <color rgb="001B365D"/>
      <sz val="10"/>
    </font>
    <font>
      <name val="Calibri"/>
      <sz val="10"/>
    </font>
    <font>
      <b val="1"/>
      <color rgb="001B365D"/>
      <sz val="9"/>
    </font>
    <font>
      <b val="1"/>
      <color rgb="00FFFFFF"/>
      <sz val="11"/>
    </font>
    <font>
      <b val="1"/>
      <color rgb="001B365D"/>
      <sz val="8"/>
    </font>
    <font>
      <sz val="12"/>
    </font>
    <font>
      <sz val="9"/>
    </font>
    <font>
      <name val="Calibri"/>
      <b val="1"/>
      <color rgb="001B365D"/>
      <sz val="12"/>
    </font>
    <font>
      <i val="1"/>
      <color rgb="001B365D"/>
      <sz val="10"/>
    </font>
    <font>
      <i val="1"/>
      <color rgb="00666666"/>
      <sz val="8"/>
    </font>
    <font>
      <b val="1"/>
      <color rgb="001B365D"/>
    </font>
    <font>
      <name val="Calibri"/>
      <b val="1"/>
      <color rgb="001B365D"/>
      <sz val="10"/>
    </font>
    <font>
      <i val="1"/>
      <color rgb="0000A3E0"/>
      <sz val="10"/>
    </font>
    <font>
      <b val="1"/>
      <color rgb="00FFFFFF"/>
      <sz val="12"/>
    </font>
    <font>
      <color rgb="0028A745"/>
      <sz val="9"/>
    </font>
    <font>
      <b val="1"/>
      <color rgb="0028A745"/>
    </font>
    <font>
      <i val="1"/>
      <color rgb="00666666"/>
      <sz val="9"/>
    </font>
    <font>
      <b val="1"/>
    </font>
    <font>
      <b val="1"/>
      <color rgb="00DC3545"/>
    </font>
    <font>
      <b val="1"/>
      <color rgb="001B365D"/>
      <sz val="14"/>
    </font>
  </fonts>
  <fills count="7">
    <fill>
      <patternFill/>
    </fill>
    <fill>
      <patternFill patternType="gray125"/>
    </fill>
    <fill>
      <patternFill patternType="solid">
        <fgColor rgb="001B365D"/>
        <bgColor rgb="001B365D"/>
      </patternFill>
    </fill>
    <fill>
      <patternFill patternType="solid">
        <fgColor rgb="0000A3E0"/>
        <bgColor rgb="0000A3E0"/>
      </patternFill>
    </fill>
    <fill>
      <patternFill patternType="solid">
        <fgColor rgb="00FFFDE7"/>
        <bgColor rgb="00FFFDE7"/>
      </patternFill>
    </fill>
    <fill>
      <patternFill patternType="solid">
        <fgColor rgb="00F5F5F5"/>
        <bgColor rgb="00F5F5F5"/>
      </patternFill>
    </fill>
    <fill>
      <patternFill patternType="solid">
        <fgColor rgb="00E8F5E9"/>
        <bgColor rgb="00E8F5E9"/>
      </patternFill>
    </fill>
  </fills>
  <borders count="7">
    <border>
      <left/>
      <right/>
      <top/>
      <bottom/>
      <diagonal/>
    </border>
    <border>
      <left style="thin">
        <color rgb="001B365D"/>
      </left>
      <right style="thin">
        <color rgb="001B365D"/>
      </right>
      <top style="thin">
        <color rgb="001B365D"/>
      </top>
      <bottom style="thin">
        <color rgb="001B365D"/>
      </bottom>
    </border>
    <border>
      <left style="thin">
        <color rgb="00E0E0E0"/>
      </left>
      <right style="thin">
        <color rgb="00E0E0E0"/>
      </right>
      <top style="thin">
        <color rgb="00E0E0E0"/>
      </top>
      <bottom style="thin">
        <color rgb="00E0E0E0"/>
      </bottom>
    </border>
    <border>
      <bottom style="thin">
        <color rgb="001B365D"/>
      </bottom>
    </border>
    <border>
      <bottom style="thin">
        <color rgb="00E0E0E0"/>
      </bottom>
    </border>
    <border>
      <left style="hair">
        <color rgb="00E0E0E0"/>
      </left>
      <right style="hair">
        <color rgb="00E0E0E0"/>
      </right>
      <top style="hair">
        <color rgb="00E0E0E0"/>
      </top>
      <bottom style="hair">
        <color rgb="00E0E0E0"/>
      </bottom>
    </border>
    <border>
      <left style="medium">
        <color rgb="001B365D"/>
      </left>
      <right style="medium">
        <color rgb="001B365D"/>
      </right>
      <top style="medium">
        <color rgb="001B365D"/>
      </top>
      <bottom style="medium">
        <color rgb="001B365D"/>
      </bottom>
    </border>
  </borders>
  <cellStyleXfs count="1">
    <xf numFmtId="0" fontId="0" fillId="0" borderId="0"/>
  </cellStyleXfs>
  <cellXfs count="6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xf>
    <xf numFmtId="0" fontId="6" fillId="0" borderId="0" applyAlignment="1" pivotButton="0" quotePrefix="0" xfId="0">
      <alignment horizontal="center"/>
    </xf>
    <xf numFmtId="0" fontId="0" fillId="0" borderId="0" applyAlignment="1" pivotButton="0" quotePrefix="0" xfId="0">
      <alignment horizontal="center"/>
    </xf>
    <xf numFmtId="0" fontId="7" fillId="3" borderId="0" applyAlignment="1" pivotButton="0" quotePrefix="0" xfId="0">
      <alignment horizontal="center" vertical="center"/>
    </xf>
    <xf numFmtId="0" fontId="8" fillId="0" borderId="0" applyAlignment="1" pivotButton="0" quotePrefix="0" xfId="0">
      <alignment horizontal="center"/>
    </xf>
    <xf numFmtId="0" fontId="9" fillId="0" borderId="0" applyAlignment="1" pivotButton="0" quotePrefix="0" xfId="0">
      <alignment horizontal="center" vertical="center"/>
    </xf>
    <xf numFmtId="0" fontId="10" fillId="0" borderId="0" applyAlignment="1" pivotButton="0" quotePrefix="0" xfId="0">
      <alignment horizontal="center" vertical="center"/>
    </xf>
    <xf numFmtId="0" fontId="12" fillId="2" borderId="1" applyAlignment="1" pivotButton="0" quotePrefix="0" xfId="0">
      <alignment horizontal="center" vertical="center" wrapText="1"/>
    </xf>
    <xf numFmtId="0" fontId="13" fillId="0" borderId="0" pivotButton="0" quotePrefix="0" xfId="0"/>
    <xf numFmtId="0" fontId="5" fillId="0" borderId="0" pivotButton="0" quotePrefix="0" xfId="0"/>
    <xf numFmtId="164" fontId="0" fillId="0" borderId="0" pivotButton="0" quotePrefix="0" xfId="0"/>
    <xf numFmtId="0" fontId="14" fillId="4" borderId="2" pivotButton="0" quotePrefix="0" xfId="0"/>
    <xf numFmtId="0" fontId="15" fillId="0" borderId="0" pivotButton="0" quotePrefix="0" xfId="0"/>
    <xf numFmtId="0" fontId="0" fillId="0" borderId="3" pivotButton="0" quotePrefix="0" xfId="0"/>
    <xf numFmtId="0" fontId="11" fillId="2" borderId="1" applyAlignment="1" pivotButton="0" quotePrefix="0" xfId="0">
      <alignment horizontal="center" vertical="center" wrapText="1"/>
    </xf>
    <xf numFmtId="0" fontId="14" fillId="0" borderId="2" applyAlignment="1" pivotButton="0" quotePrefix="0" xfId="0">
      <alignment vertical="center"/>
    </xf>
    <xf numFmtId="165" fontId="14" fillId="0" borderId="2" applyAlignment="1" pivotButton="0" quotePrefix="0" xfId="0">
      <alignment horizontal="right" vertical="center"/>
    </xf>
    <xf numFmtId="0" fontId="14" fillId="4" borderId="2" applyAlignment="1" pivotButton="0" quotePrefix="0" xfId="0">
      <alignment horizontal="center"/>
    </xf>
    <xf numFmtId="0" fontId="14" fillId="5" borderId="2" applyAlignment="1" pivotButton="0" quotePrefix="0" xfId="0">
      <alignment vertical="center"/>
    </xf>
    <xf numFmtId="165" fontId="14" fillId="5" borderId="2" applyAlignment="1" pivotButton="0" quotePrefix="0" xfId="0">
      <alignment horizontal="right" vertical="center"/>
    </xf>
    <xf numFmtId="0" fontId="16" fillId="3" borderId="0" applyAlignment="1" pivotButton="0" quotePrefix="0" xfId="0">
      <alignment horizontal="center"/>
    </xf>
    <xf numFmtId="0" fontId="17" fillId="0" borderId="4" applyAlignment="1" pivotButton="0" quotePrefix="0" xfId="0">
      <alignment horizontal="center"/>
    </xf>
    <xf numFmtId="0" fontId="18" fillId="0" borderId="5" applyAlignment="1" pivotButton="0" quotePrefix="0" xfId="0">
      <alignment horizontal="center"/>
    </xf>
    <xf numFmtId="0" fontId="6" fillId="0" borderId="0" pivotButton="0" quotePrefix="0" xfId="0"/>
    <xf numFmtId="165" fontId="19" fillId="0" borderId="0" pivotButton="0" quotePrefix="0" xfId="0"/>
    <xf numFmtId="0" fontId="13" fillId="0" borderId="0" applyAlignment="1" pivotButton="0" quotePrefix="0" xfId="0">
      <alignment horizontal="right"/>
    </xf>
    <xf numFmtId="0" fontId="4" fillId="0" borderId="0" applyAlignment="1" pivotButton="0" quotePrefix="0" xfId="0">
      <alignment horizontal="right" vertical="center"/>
    </xf>
    <xf numFmtId="165" fontId="20" fillId="6" borderId="6" applyAlignment="1" pivotButton="0" quotePrefix="0" xfId="0">
      <alignment horizontal="right" vertical="center"/>
    </xf>
    <xf numFmtId="0" fontId="14" fillId="4" borderId="2" applyAlignment="1" pivotButton="0" quotePrefix="0" xfId="0">
      <alignment vertical="top" wrapText="1"/>
    </xf>
    <xf numFmtId="0" fontId="21" fillId="0" borderId="0" applyAlignment="1" pivotButton="0" quotePrefix="0" xfId="0">
      <alignment horizontal="center"/>
    </xf>
    <xf numFmtId="0" fontId="22" fillId="0" borderId="0" applyAlignment="1" pivotButton="0" quotePrefix="0" xfId="0">
      <alignment horizontal="center"/>
    </xf>
    <xf numFmtId="0" fontId="9" fillId="0" borderId="0" applyAlignment="1" pivotButton="0" quotePrefix="0" xfId="0">
      <alignment horizontal="center"/>
    </xf>
    <xf numFmtId="0" fontId="10" fillId="0" borderId="0" applyAlignment="1" pivotButton="0" quotePrefix="0" xfId="0">
      <alignment horizontal="center"/>
    </xf>
    <xf numFmtId="0" fontId="23" fillId="0" borderId="0" pivotButton="0" quotePrefix="0" xfId="0"/>
    <xf numFmtId="0" fontId="14" fillId="0" borderId="2" applyAlignment="1" pivotButton="0" quotePrefix="0" xfId="0">
      <alignment horizontal="center"/>
    </xf>
    <xf numFmtId="165" fontId="14" fillId="4" borderId="2" pivotButton="0" quotePrefix="0" xfId="0"/>
    <xf numFmtId="0" fontId="24" fillId="5" borderId="2" applyAlignment="1" pivotButton="0" quotePrefix="0" xfId="0">
      <alignment horizontal="center" vertical="center"/>
    </xf>
    <xf numFmtId="0" fontId="23" fillId="0" borderId="0" applyAlignment="1" pivotButton="0" quotePrefix="0" xfId="0">
      <alignment horizontal="right"/>
    </xf>
    <xf numFmtId="0" fontId="4" fillId="0" borderId="0" applyAlignment="1" pivotButton="0" quotePrefix="0" xfId="0">
      <alignment horizontal="right"/>
    </xf>
    <xf numFmtId="0" fontId="25" fillId="0" borderId="0" applyAlignment="1" pivotButton="0" quotePrefix="0" xfId="0">
      <alignment horizontal="center"/>
    </xf>
    <xf numFmtId="0" fontId="26" fillId="2" borderId="1" applyAlignment="1" pivotButton="0" quotePrefix="0" xfId="0">
      <alignment horizontal="center" vertical="center" wrapText="1"/>
    </xf>
    <xf numFmtId="0" fontId="27" fillId="0" borderId="0" pivotButton="0" quotePrefix="0" xfId="0"/>
    <xf numFmtId="0" fontId="28" fillId="0" borderId="0" pivotButton="0" quotePrefix="0" xfId="0"/>
    <xf numFmtId="165" fontId="28" fillId="0" borderId="0" pivotButton="0" quotePrefix="0" xfId="0"/>
    <xf numFmtId="0" fontId="29" fillId="0" borderId="0" applyAlignment="1" pivotButton="0" quotePrefix="0" xfId="0">
      <alignment horizontal="center"/>
    </xf>
    <xf numFmtId="0" fontId="7" fillId="2" borderId="0" applyAlignment="1" pivotButton="0" quotePrefix="0" xfId="0">
      <alignment horizontal="center" vertical="center"/>
    </xf>
    <xf numFmtId="0" fontId="0" fillId="0" borderId="2" pivotButton="0" quotePrefix="0" xfId="0"/>
    <xf numFmtId="166" fontId="0" fillId="0" borderId="2" pivotButton="0" quotePrefix="0" xfId="0"/>
    <xf numFmtId="0" fontId="0" fillId="0" borderId="2" applyAlignment="1" pivotButton="0" quotePrefix="0" xfId="0">
      <alignment horizontal="center"/>
    </xf>
    <xf numFmtId="165" fontId="0" fillId="0" borderId="2" pivotButton="0" quotePrefix="0" xfId="0"/>
    <xf numFmtId="0" fontId="0" fillId="0" borderId="2" applyAlignment="1" pivotButton="0" quotePrefix="0" xfId="0">
      <alignment wrapText="1"/>
    </xf>
    <xf numFmtId="0" fontId="30" fillId="0" borderId="0" pivotButton="0" quotePrefix="0" xfId="0"/>
    <xf numFmtId="0" fontId="31" fillId="0" borderId="0" pivotButton="0" quotePrefix="0" xfId="0"/>
    <xf numFmtId="165" fontId="14" fillId="0" borderId="2" applyAlignment="1" pivotButton="0" quotePrefix="0" xfId="0">
      <alignment vertical="center"/>
    </xf>
    <xf numFmtId="0" fontId="32" fillId="0" borderId="0" pivotButton="0" quotePrefix="0" xfId="0"/>
    <xf numFmtId="9" fontId="0" fillId="0" borderId="0" pivotButton="0" quotePrefix="0" xfId="0"/>
  </cellXfs>
  <cellStyles count="1">
    <cellStyle name="Normal" xfId="0" builtinId="0" hidden="0"/>
  </cellStyles>
  <dxfs count="3">
    <dxf>
      <fill>
        <patternFill patternType="solid">
          <fgColor rgb="00FFCDD2"/>
          <bgColor rgb="00FFCDD2"/>
        </patternFill>
      </fill>
    </dxf>
    <dxf>
      <fill>
        <patternFill patternType="solid">
          <fgColor rgb="00FFF9C4"/>
          <bgColor rgb="00FFF9C4"/>
        </patternFill>
      </fill>
    </dxf>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1714500" cy="6667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7</col>
      <colOff>0</colOff>
      <row>0</row>
      <rowOff>0</rowOff>
    </from>
    <ext cx="1333500" cy="4762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7</col>
      <colOff>0</colOff>
      <row>0</row>
      <rowOff>0</rowOff>
    </from>
    <ext cx="1333500" cy="4762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7</col>
      <colOff>0</colOff>
      <row>0</row>
      <rowOff>0</rowOff>
    </from>
    <ext cx="1333500" cy="4762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B2:E23"/>
  <sheetViews>
    <sheetView workbookViewId="0">
      <selection activeCell="A1" sqref="A1"/>
    </sheetView>
  </sheetViews>
  <sheetFormatPr baseColWidth="8" defaultRowHeight="15"/>
  <cols>
    <col width="5" customWidth="1" min="1" max="1"/>
    <col width="22" customWidth="1" min="2" max="2"/>
    <col width="22" customWidth="1" min="3" max="3"/>
    <col width="22" customWidth="1" min="4" max="4"/>
    <col width="22" customWidth="1" min="5" max="5"/>
    <col width="5" customWidth="1" min="6" max="6"/>
  </cols>
  <sheetData>
    <row r="2">
      <c r="B2" s="1" t="inlineStr">
        <is>
          <t>QUALITY AIRCRAFT ACCESSORIES</t>
        </is>
      </c>
    </row>
    <row r="3">
      <c r="B3" s="2" t="inlineStr">
        <is>
          <t>A Hartzell Engine Technologies Company</t>
        </is>
      </c>
    </row>
    <row r="9" ht="40" customHeight="1">
      <c r="B9" s="3" t="inlineStr">
        <is>
          <t>QUOTE SYSTEM v13.0</t>
        </is>
      </c>
    </row>
    <row r="11">
      <c r="B11" s="4" t="inlineStr">
        <is>
          <t>SELECT QUOTE TYPE:</t>
        </is>
      </c>
    </row>
    <row r="13">
      <c r="B13" s="5" t="inlineStr">
        <is>
          <t>500HR SERVICE</t>
        </is>
      </c>
      <c r="C13" s="5" t="inlineStr">
        <is>
          <t>CUST PROPERTY</t>
        </is>
      </c>
      <c r="D13" s="5" t="inlineStr">
        <is>
          <t>EXCHANGE/SALE</t>
        </is>
      </c>
    </row>
    <row r="14">
      <c r="B14" s="6" t="inlineStr">
        <is>
          <t>Magneto inspection quotes</t>
        </is>
      </c>
      <c r="C14" s="6" t="inlineStr">
        <is>
          <t>Customer unit overhauls</t>
        </is>
      </c>
      <c r="D14" s="6" t="inlineStr">
        <is>
          <t>Exchange &amp; inventory</t>
        </is>
      </c>
    </row>
    <row r="16">
      <c r="B16" s="7" t="inlineStr">
        <is>
          <t>[Button]</t>
        </is>
      </c>
      <c r="C16" s="7" t="inlineStr">
        <is>
          <t>[Button]</t>
        </is>
      </c>
      <c r="D16" s="7" t="inlineStr">
        <is>
          <t>[Button]</t>
        </is>
      </c>
    </row>
    <row r="19" ht="35" customHeight="1">
      <c r="B19" s="8" t="inlineStr">
        <is>
          <t>QUOTE TRACKER</t>
        </is>
      </c>
    </row>
    <row r="20">
      <c r="B20" s="9" t="inlineStr">
        <is>
          <t>Track follow-ups, reminders, and quote status</t>
        </is>
      </c>
    </row>
    <row r="23">
      <c r="B23" s="6" t="inlineStr">
        <is>
          <t>5746 E Apache St, Tulsa, OK 74115 | 918-835-6948 | sales@qaainc.com</t>
        </is>
      </c>
    </row>
  </sheetData>
  <mergeCells count="6">
    <mergeCell ref="B20:E20"/>
    <mergeCell ref="B23:E23"/>
    <mergeCell ref="B9:E9"/>
    <mergeCell ref="B3:E3"/>
    <mergeCell ref="B19:E19"/>
    <mergeCell ref="B2:E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B1:I37"/>
  <sheetViews>
    <sheetView workbookViewId="0">
      <selection activeCell="A1" sqref="A1"/>
    </sheetView>
  </sheetViews>
  <sheetFormatPr baseColWidth="8" defaultRowHeight="15"/>
  <cols>
    <col width="3" customWidth="1" min="1" max="1"/>
    <col width="16" customWidth="1" min="2" max="2"/>
    <col width="12" customWidth="1" min="3" max="3"/>
    <col width="28" customWidth="1" min="4" max="4"/>
    <col width="11" customWidth="1" min="5" max="5"/>
    <col width="9" customWidth="1" min="6" max="6"/>
    <col width="14" customWidth="1" min="7" max="7"/>
    <col width="11" customWidth="1" min="8" max="8"/>
    <col width="12" customWidth="1" min="9" max="9"/>
    <col width="3" customWidth="1" min="10" max="10"/>
  </cols>
  <sheetData>
    <row r="1" ht="20" customHeight="1">
      <c r="B1" s="10" t="inlineStr">
        <is>
          <t>QUALITY AIRCRAFT ACCESSORIES</t>
        </is>
      </c>
    </row>
    <row r="2" ht="30" customHeight="1">
      <c r="B2" s="11" t="inlineStr">
        <is>
          <t>A Hartzell Engine Technologies Company</t>
        </is>
      </c>
    </row>
    <row r="3" ht="28" customHeight="1">
      <c r="B3" s="12" t="inlineStr">
        <is>
          <t>500HR MAGNETO INSPECTION SERVICE QUOTE</t>
        </is>
      </c>
    </row>
    <row r="5">
      <c r="B5" s="13" t="inlineStr">
        <is>
          <t>Quote #:</t>
        </is>
      </c>
      <c r="C5" s="14">
        <f>Config!B2&amp;"-"&amp;TEXT(Config!B3,"00000")</f>
        <v/>
      </c>
      <c r="F5" s="13" t="inlineStr">
        <is>
          <t>Date:</t>
        </is>
      </c>
      <c r="G5" s="15" t="inlineStr">
        <is>
          <t>01/09/2026</t>
        </is>
      </c>
      <c r="H5" s="13" t="inlineStr">
        <is>
          <t>Valid:</t>
        </is>
      </c>
      <c r="I5" t="inlineStr">
        <is>
          <t>30 Days</t>
        </is>
      </c>
    </row>
    <row r="6">
      <c r="B6" s="13" t="inlineStr">
        <is>
          <t>Customer Email:</t>
        </is>
      </c>
      <c r="C6" s="16" t="inlineStr"/>
      <c r="G6" s="17" t="inlineStr">
        <is>
          <t>Approval Req?</t>
        </is>
      </c>
      <c r="H6" s="16" t="inlineStr">
        <is>
          <t>No</t>
        </is>
      </c>
    </row>
    <row r="7" ht="8" customHeight="1">
      <c r="B7" s="18" t="n"/>
      <c r="C7" s="18" t="n"/>
      <c r="D7" s="18" t="n"/>
      <c r="E7" s="18" t="n"/>
      <c r="F7" s="18" t="n"/>
      <c r="G7" s="18" t="n"/>
      <c r="H7" s="18" t="n"/>
      <c r="I7" s="18" t="n"/>
    </row>
    <row r="8" ht="24" customHeight="1">
      <c r="B8" s="19" t="inlineStr">
        <is>
          <t>Magneto P/N</t>
        </is>
      </c>
      <c r="C8" s="19" t="inlineStr">
        <is>
          <t>Serial #</t>
        </is>
      </c>
      <c r="D8" s="19" t="inlineStr">
        <is>
          <t>Description</t>
        </is>
      </c>
      <c r="E8" s="19" t="inlineStr">
        <is>
          <t>500HR Price</t>
        </is>
      </c>
      <c r="F8" s="19" t="inlineStr">
        <is>
          <t>Ovhl?</t>
        </is>
      </c>
      <c r="G8" s="19" t="inlineStr">
        <is>
          <t>CO Part #</t>
        </is>
      </c>
      <c r="H8" s="19" t="inlineStr">
        <is>
          <t>CO Price</t>
        </is>
      </c>
      <c r="I8" s="19" t="inlineStr">
        <is>
          <t>Line Total</t>
        </is>
      </c>
    </row>
    <row r="9">
      <c r="B9" s="16" t="inlineStr"/>
      <c r="C9" s="16" t="inlineStr"/>
      <c r="D9" s="20">
        <f>IF(B9="","",IFERROR(VLOOKUP(B9&amp;"5H",'Parts Master'!$A:$H,2,FALSE),IFERROR(VLOOKUP(B9,'Parts Master'!$A:$H,2,FALSE),"Not Found")))</f>
        <v/>
      </c>
      <c r="E9" s="21">
        <f>IF(B9="","",IFERROR(VLOOKUP(B9&amp;"5H",'Parts Master'!$A:$H,4,FALSE),Config!$B$5))</f>
        <v/>
      </c>
      <c r="F9" s="22" t="inlineStr"/>
      <c r="G9" s="20">
        <f>IF(F9="Yes",SUBSTITUTE(B9,"5H","")&amp;"-CO","")</f>
        <v/>
      </c>
      <c r="H9" s="21">
        <f>IF(G9="","",IFERROR(VLOOKUP(G9,'Parts Master'!$A:$H,4,FALSE),0))</f>
        <v/>
      </c>
      <c r="I9" s="21">
        <f>IF(B9="","",IF(F9="Yes",H9,E9))</f>
        <v/>
      </c>
    </row>
    <row r="10">
      <c r="B10" s="16" t="inlineStr"/>
      <c r="C10" s="16" t="inlineStr"/>
      <c r="D10" s="23">
        <f>IF(B10="","",IFERROR(VLOOKUP(B10&amp;"5H",'Parts Master'!$A:$H,2,FALSE),IFERROR(VLOOKUP(B10,'Parts Master'!$A:$H,2,FALSE),"Not Found")))</f>
        <v/>
      </c>
      <c r="E10" s="24">
        <f>IF(B10="","",IFERROR(VLOOKUP(B10&amp;"5H",'Parts Master'!$A:$H,4,FALSE),Config!$B$5))</f>
        <v/>
      </c>
      <c r="F10" s="22" t="inlineStr"/>
      <c r="G10" s="23">
        <f>IF(F10="Yes",SUBSTITUTE(B10,"5H","")&amp;"-CO","")</f>
        <v/>
      </c>
      <c r="H10" s="24">
        <f>IF(G10="","",IFERROR(VLOOKUP(G10,'Parts Master'!$A:$H,4,FALSE),0))</f>
        <v/>
      </c>
      <c r="I10" s="24">
        <f>IF(B10="","",IF(F10="Yes",H10,E10))</f>
        <v/>
      </c>
    </row>
    <row r="11">
      <c r="B11" s="16" t="inlineStr"/>
      <c r="C11" s="16" t="inlineStr"/>
      <c r="D11" s="20">
        <f>IF(B11="","",IFERROR(VLOOKUP(B11&amp;"5H",'Parts Master'!$A:$H,2,FALSE),IFERROR(VLOOKUP(B11,'Parts Master'!$A:$H,2,FALSE),"Not Found")))</f>
        <v/>
      </c>
      <c r="E11" s="21">
        <f>IF(B11="","",IFERROR(VLOOKUP(B11&amp;"5H",'Parts Master'!$A:$H,4,FALSE),Config!$B$5))</f>
        <v/>
      </c>
      <c r="F11" s="22" t="inlineStr"/>
      <c r="G11" s="20">
        <f>IF(F11="Yes",SUBSTITUTE(B11,"5H","")&amp;"-CO","")</f>
        <v/>
      </c>
      <c r="H11" s="21">
        <f>IF(G11="","",IFERROR(VLOOKUP(G11,'Parts Master'!$A:$H,4,FALSE),0))</f>
        <v/>
      </c>
      <c r="I11" s="21">
        <f>IF(B11="","",IF(F11="Yes",H11,E11))</f>
        <v/>
      </c>
    </row>
    <row r="12">
      <c r="B12" s="16" t="inlineStr"/>
      <c r="C12" s="16" t="inlineStr"/>
      <c r="D12" s="23">
        <f>IF(B12="","",IFERROR(VLOOKUP(B12&amp;"5H",'Parts Master'!$A:$H,2,FALSE),IFERROR(VLOOKUP(B12,'Parts Master'!$A:$H,2,FALSE),"Not Found")))</f>
        <v/>
      </c>
      <c r="E12" s="24">
        <f>IF(B12="","",IFERROR(VLOOKUP(B12&amp;"5H",'Parts Master'!$A:$H,4,FALSE),Config!$B$5))</f>
        <v/>
      </c>
      <c r="F12" s="22" t="inlineStr"/>
      <c r="G12" s="23">
        <f>IF(F12="Yes",SUBSTITUTE(B12,"5H","")&amp;"-CO","")</f>
        <v/>
      </c>
      <c r="H12" s="24">
        <f>IF(G12="","",IFERROR(VLOOKUP(G12,'Parts Master'!$A:$H,4,FALSE),0))</f>
        <v/>
      </c>
      <c r="I12" s="24">
        <f>IF(B12="","",IF(F12="Yes",H12,E12))</f>
        <v/>
      </c>
    </row>
    <row r="13">
      <c r="B13" s="16" t="inlineStr"/>
      <c r="C13" s="16" t="inlineStr"/>
      <c r="D13" s="20">
        <f>IF(B13="","",IFERROR(VLOOKUP(B13&amp;"5H",'Parts Master'!$A:$H,2,FALSE),IFERROR(VLOOKUP(B13,'Parts Master'!$A:$H,2,FALSE),"Not Found")))</f>
        <v/>
      </c>
      <c r="E13" s="21">
        <f>IF(B13="","",IFERROR(VLOOKUP(B13&amp;"5H",'Parts Master'!$A:$H,4,FALSE),Config!$B$5))</f>
        <v/>
      </c>
      <c r="F13" s="22" t="inlineStr"/>
      <c r="G13" s="20">
        <f>IF(F13="Yes",SUBSTITUTE(B13,"5H","")&amp;"-CO","")</f>
        <v/>
      </c>
      <c r="H13" s="21">
        <f>IF(G13="","",IFERROR(VLOOKUP(G13,'Parts Master'!$A:$H,4,FALSE),0))</f>
        <v/>
      </c>
      <c r="I13" s="21">
        <f>IF(B13="","",IF(F13="Yes",H13,E13))</f>
        <v/>
      </c>
    </row>
    <row r="14">
      <c r="B14" s="16" t="inlineStr"/>
      <c r="C14" s="16" t="inlineStr"/>
      <c r="D14" s="23">
        <f>IF(B14="","",IFERROR(VLOOKUP(B14&amp;"5H",'Parts Master'!$A:$H,2,FALSE),IFERROR(VLOOKUP(B14,'Parts Master'!$A:$H,2,FALSE),"Not Found")))</f>
        <v/>
      </c>
      <c r="E14" s="24">
        <f>IF(B14="","",IFERROR(VLOOKUP(B14&amp;"5H",'Parts Master'!$A:$H,4,FALSE),Config!$B$5))</f>
        <v/>
      </c>
      <c r="F14" s="22" t="inlineStr"/>
      <c r="G14" s="23">
        <f>IF(F14="Yes",SUBSTITUTE(B14,"5H","")&amp;"-CO","")</f>
        <v/>
      </c>
      <c r="H14" s="24">
        <f>IF(G14="","",IFERROR(VLOOKUP(G14,'Parts Master'!$A:$H,4,FALSE),0))</f>
        <v/>
      </c>
      <c r="I14" s="24">
        <f>IF(B14="","",IF(F14="Yes",H14,E14))</f>
        <v/>
      </c>
    </row>
    <row r="16" ht="22" customHeight="1">
      <c r="B16" s="25" t="inlineStr">
        <is>
          <t>INSPECTION FINDINGS</t>
        </is>
      </c>
    </row>
    <row r="17">
      <c r="B17" s="26" t="inlineStr">
        <is>
          <t>Coil</t>
        </is>
      </c>
      <c r="C17" s="26" t="inlineStr">
        <is>
          <t>Capacitor</t>
        </is>
      </c>
      <c r="D17" s="26" t="inlineStr">
        <is>
          <t>Dist Block</t>
        </is>
      </c>
      <c r="E17" s="26" t="inlineStr">
        <is>
          <t>Impulse</t>
        </is>
      </c>
      <c r="F17" s="26" t="inlineStr">
        <is>
          <t>Gear</t>
        </is>
      </c>
      <c r="G17" s="26" t="inlineStr">
        <is>
          <t>Points</t>
        </is>
      </c>
      <c r="H17" s="26" t="inlineStr">
        <is>
          <t>Bearings</t>
        </is>
      </c>
      <c r="I17" s="26" t="inlineStr">
        <is>
          <t>Oil ⚠</t>
        </is>
      </c>
    </row>
    <row r="18">
      <c r="B18" s="27" t="inlineStr">
        <is>
          <t>☐</t>
        </is>
      </c>
      <c r="C18" s="27" t="inlineStr">
        <is>
          <t>☐</t>
        </is>
      </c>
      <c r="D18" s="27" t="inlineStr">
        <is>
          <t>☐</t>
        </is>
      </c>
      <c r="E18" s="27" t="inlineStr">
        <is>
          <t>☐</t>
        </is>
      </c>
      <c r="F18" s="27" t="inlineStr">
        <is>
          <t>☐</t>
        </is>
      </c>
      <c r="G18" s="27" t="inlineStr">
        <is>
          <t>☐</t>
        </is>
      </c>
      <c r="H18" s="27" t="inlineStr">
        <is>
          <t>☐</t>
        </is>
      </c>
      <c r="I18" s="27" t="inlineStr">
        <is>
          <t>☐</t>
        </is>
      </c>
    </row>
    <row r="19">
      <c r="B19" s="27" t="inlineStr">
        <is>
          <t>☐</t>
        </is>
      </c>
      <c r="C19" s="27" t="inlineStr">
        <is>
          <t>☐</t>
        </is>
      </c>
      <c r="D19" s="27" t="inlineStr">
        <is>
          <t>☐</t>
        </is>
      </c>
      <c r="E19" s="27" t="inlineStr">
        <is>
          <t>☐</t>
        </is>
      </c>
      <c r="F19" s="27" t="inlineStr">
        <is>
          <t>☐</t>
        </is>
      </c>
      <c r="G19" s="27" t="inlineStr">
        <is>
          <t>☐</t>
        </is>
      </c>
      <c r="H19" s="27" t="inlineStr">
        <is>
          <t>☐</t>
        </is>
      </c>
      <c r="I19" s="27" t="inlineStr">
        <is>
          <t>☐</t>
        </is>
      </c>
    </row>
    <row r="20">
      <c r="B20" s="27" t="inlineStr">
        <is>
          <t>☐</t>
        </is>
      </c>
      <c r="C20" s="27" t="inlineStr">
        <is>
          <t>☐</t>
        </is>
      </c>
      <c r="D20" s="27" t="inlineStr">
        <is>
          <t>☐</t>
        </is>
      </c>
      <c r="E20" s="27" t="inlineStr">
        <is>
          <t>☐</t>
        </is>
      </c>
      <c r="F20" s="27" t="inlineStr">
        <is>
          <t>☐</t>
        </is>
      </c>
      <c r="G20" s="27" t="inlineStr">
        <is>
          <t>☐</t>
        </is>
      </c>
      <c r="H20" s="27" t="inlineStr">
        <is>
          <t>☐</t>
        </is>
      </c>
      <c r="I20" s="27" t="inlineStr">
        <is>
          <t>☐</t>
        </is>
      </c>
    </row>
    <row r="21">
      <c r="B21" s="27" t="inlineStr">
        <is>
          <t>☐</t>
        </is>
      </c>
      <c r="C21" s="27" t="inlineStr">
        <is>
          <t>☐</t>
        </is>
      </c>
      <c r="D21" s="27" t="inlineStr">
        <is>
          <t>☐</t>
        </is>
      </c>
      <c r="E21" s="27" t="inlineStr">
        <is>
          <t>☐</t>
        </is>
      </c>
      <c r="F21" s="27" t="inlineStr">
        <is>
          <t>☐</t>
        </is>
      </c>
      <c r="G21" s="27" t="inlineStr">
        <is>
          <t>☐</t>
        </is>
      </c>
      <c r="H21" s="27" t="inlineStr">
        <is>
          <t>☐</t>
        </is>
      </c>
      <c r="I21" s="27" t="inlineStr">
        <is>
          <t>☐</t>
        </is>
      </c>
    </row>
    <row r="22">
      <c r="B22" s="27" t="inlineStr">
        <is>
          <t>☐</t>
        </is>
      </c>
      <c r="C22" s="27" t="inlineStr">
        <is>
          <t>☐</t>
        </is>
      </c>
      <c r="D22" s="27" t="inlineStr">
        <is>
          <t>☐</t>
        </is>
      </c>
      <c r="E22" s="27" t="inlineStr">
        <is>
          <t>☐</t>
        </is>
      </c>
      <c r="F22" s="27" t="inlineStr">
        <is>
          <t>☐</t>
        </is>
      </c>
      <c r="G22" s="27" t="inlineStr">
        <is>
          <t>☐</t>
        </is>
      </c>
      <c r="H22" s="27" t="inlineStr">
        <is>
          <t>☐</t>
        </is>
      </c>
      <c r="I22" s="27" t="inlineStr">
        <is>
          <t>☐</t>
        </is>
      </c>
    </row>
    <row r="23">
      <c r="B23" s="27" t="inlineStr">
        <is>
          <t>☐</t>
        </is>
      </c>
      <c r="C23" s="27" t="inlineStr">
        <is>
          <t>☐</t>
        </is>
      </c>
      <c r="D23" s="27" t="inlineStr">
        <is>
          <t>☐</t>
        </is>
      </c>
      <c r="E23" s="27" t="inlineStr">
        <is>
          <t>☐</t>
        </is>
      </c>
      <c r="F23" s="27" t="inlineStr">
        <is>
          <t>☐</t>
        </is>
      </c>
      <c r="G23" s="27" t="inlineStr">
        <is>
          <t>☐</t>
        </is>
      </c>
      <c r="H23" s="27" t="inlineStr">
        <is>
          <t>☐</t>
        </is>
      </c>
      <c r="I23" s="27" t="inlineStr">
        <is>
          <t>☐</t>
        </is>
      </c>
    </row>
    <row r="25">
      <c r="B25" s="28" t="inlineStr">
        <is>
          <t>Findings Add-On:</t>
        </is>
      </c>
      <c r="D25" s="29">
        <f>SUMPRODUCT((B18:I23&lt;&gt;"☐")*1)/8*Config!$B$6</f>
        <v/>
      </c>
    </row>
    <row r="26" ht="6" customHeight="1">
      <c r="B26" s="18" t="n"/>
      <c r="C26" s="18" t="n"/>
      <c r="D26" s="18" t="n"/>
      <c r="E26" s="18" t="n"/>
      <c r="F26" s="18" t="n"/>
      <c r="G26" s="18" t="n"/>
      <c r="H26" s="18" t="n"/>
      <c r="I26" s="18" t="n"/>
    </row>
    <row r="27">
      <c r="F27" s="30" t="inlineStr">
        <is>
          <t>500HR Service:</t>
        </is>
      </c>
      <c r="I27" s="21">
        <f>SUMIF(F9:F14,"&lt;&gt;Yes",E9:E14)</f>
        <v/>
      </c>
    </row>
    <row r="28">
      <c r="F28" s="30" t="inlineStr">
        <is>
          <t>Overhaul Total:</t>
        </is>
      </c>
      <c r="I28" s="21">
        <f>SUMIF(F9:F14,"Yes",H9:H14)</f>
        <v/>
      </c>
    </row>
    <row r="29" ht="28" customHeight="1">
      <c r="F29" s="31" t="inlineStr">
        <is>
          <t>GRAND TOTAL:</t>
        </is>
      </c>
      <c r="H29" s="32">
        <f>I27+I28+D25</f>
        <v/>
      </c>
    </row>
    <row r="31">
      <c r="B31" s="17" t="inlineStr">
        <is>
          <t>Notes / Special Instructions:</t>
        </is>
      </c>
    </row>
    <row r="32" ht="40" customHeight="1">
      <c r="B32" s="33" t="inlineStr"/>
    </row>
    <row r="33"/>
    <row r="35">
      <c r="B35" s="34" t="inlineStr">
        <is>
          <t>Thank you for choosing Quality Aircraft Accessories!</t>
        </is>
      </c>
    </row>
    <row r="36">
      <c r="B36" s="6" t="inlineStr">
        <is>
          <t>5746 E Apache St, Tulsa, OK 74115 | 918-835-6948 | sales@qaainc.com | qaa.com</t>
        </is>
      </c>
    </row>
    <row r="37">
      <c r="B37" s="35" t="inlineStr">
        <is>
          <t>Quote valid for 30 days. Prices subject to change. Core charges may apply for exchange units.</t>
        </is>
      </c>
    </row>
  </sheetData>
  <mergeCells count="11">
    <mergeCell ref="F29:G29"/>
    <mergeCell ref="H29:I29"/>
    <mergeCell ref="B16:I16"/>
    <mergeCell ref="B2:I2"/>
    <mergeCell ref="B3:I3"/>
    <mergeCell ref="B36:I36"/>
    <mergeCell ref="B37:I37"/>
    <mergeCell ref="B1:I1"/>
    <mergeCell ref="B35:I35"/>
    <mergeCell ref="C6:E6"/>
    <mergeCell ref="B32:I33"/>
  </mergeCells>
  <dataValidations count="1">
    <dataValidation sqref="F9 F10 F11 F12 F13 F14 H6" showDropDown="0" showInputMessage="0" showErrorMessage="0" allowBlank="1" type="list">
      <formula1>"Yes,No"</formula1>
    </dataValidation>
  </dataValidations>
  <pageMargins left="0.4" right="0.4" top="0.4" bottom="0.4" header="0.5" footer="0.5"/>
  <pageSetup orientation="portrait"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8" customWidth="1" min="1" max="1"/>
    <col width="16" customWidth="1" min="2" max="2"/>
    <col width="24" customWidth="1" min="3" max="3"/>
    <col width="10" customWidth="1" min="4" max="4"/>
    <col width="11" customWidth="1" min="5" max="5"/>
    <col width="11" customWidth="1" min="6" max="6"/>
    <col width="11" customWidth="1" min="7" max="7"/>
    <col width="9" customWidth="1" min="8" max="8"/>
    <col width="11" customWidth="1" min="9" max="9"/>
    <col width="3" customWidth="1" min="10" max="10"/>
  </cols>
  <sheetData>
    <row r="1">
      <c r="B1" s="36" t="inlineStr">
        <is>
          <t>QUALITY AIRCRAFT ACCESSORIES</t>
        </is>
      </c>
    </row>
    <row r="2">
      <c r="B2" s="37" t="inlineStr">
        <is>
          <t>A Hartzell Engine Technologies Company</t>
        </is>
      </c>
    </row>
    <row r="3" ht="28" customHeight="1">
      <c r="B3" s="12" t="inlineStr">
        <is>
          <t>CUSTOMER PROPERTY OVERHAUL QUOTE</t>
        </is>
      </c>
    </row>
    <row r="5">
      <c r="B5" s="38" t="inlineStr">
        <is>
          <t>Quote #:</t>
        </is>
      </c>
      <c r="C5" s="14">
        <f>Config!B2&amp;"-"&amp;TEXT(Config!B3,"00000")</f>
        <v/>
      </c>
      <c r="E5" s="38" t="inlineStr">
        <is>
          <t>Date:</t>
        </is>
      </c>
      <c r="F5" t="inlineStr">
        <is>
          <t>01/09/2026</t>
        </is>
      </c>
      <c r="G5" s="38" t="inlineStr">
        <is>
          <t>Updated:</t>
        </is>
      </c>
      <c r="H5" s="16" t="inlineStr"/>
    </row>
    <row r="6">
      <c r="B6" s="38" t="inlineStr">
        <is>
          <t>Customer Email:</t>
        </is>
      </c>
      <c r="C6" s="16" t="inlineStr"/>
      <c r="F6" s="38" t="inlineStr">
        <is>
          <t>Tier:</t>
        </is>
      </c>
      <c r="G6" s="16" t="inlineStr">
        <is>
          <t>Standard</t>
        </is>
      </c>
    </row>
    <row r="7">
      <c r="B7" s="17" t="inlineStr">
        <is>
          <t>Needs:</t>
        </is>
      </c>
      <c r="C7" t="inlineStr">
        <is>
          <t>Approval?</t>
        </is>
      </c>
      <c r="D7" s="16" t="inlineStr">
        <is>
          <t>No</t>
        </is>
      </c>
      <c r="E7" t="inlineStr">
        <is>
          <t>Shipping?</t>
        </is>
      </c>
      <c r="F7" s="16" t="inlineStr">
        <is>
          <t>No</t>
        </is>
      </c>
      <c r="G7" t="inlineStr">
        <is>
          <t>Payment?</t>
        </is>
      </c>
      <c r="H7" s="16" t="inlineStr">
        <is>
          <t>No</t>
        </is>
      </c>
    </row>
    <row r="8" ht="6" customHeight="1">
      <c r="B8" s="18" t="n"/>
      <c r="C8" s="18" t="n"/>
      <c r="D8" s="18" t="n"/>
      <c r="E8" s="18" t="n"/>
      <c r="F8" s="18" t="n"/>
      <c r="G8" s="18" t="n"/>
      <c r="H8" s="18" t="n"/>
      <c r="I8" s="18" t="n"/>
    </row>
    <row r="9" ht="24" customHeight="1">
      <c r="B9" s="19" t="inlineStr">
        <is>
          <t>Unit P/N</t>
        </is>
      </c>
      <c r="C9" s="19" t="inlineStr">
        <is>
          <t>Description</t>
        </is>
      </c>
      <c r="D9" s="19" t="inlineStr">
        <is>
          <t>Type</t>
        </is>
      </c>
      <c r="E9" s="19" t="inlineStr">
        <is>
          <t>Base Price</t>
        </is>
      </c>
      <c r="F9" s="19" t="inlineStr">
        <is>
          <t>Your Price</t>
        </is>
      </c>
      <c r="G9" s="19" t="inlineStr">
        <is>
          <t>Exch Cap</t>
        </is>
      </c>
    </row>
    <row r="10">
      <c r="B10" s="16" t="inlineStr"/>
      <c r="C10" s="20">
        <f>IF(B10="","",IFERROR(VLOOKUP(B10,'Parts Master'!$A:$H,2,FALSE),"Not Found"))</f>
        <v/>
      </c>
      <c r="D10" s="39">
        <f>IF(B10="","",IF(COUNTIF(BOM!$A:$A,SUBSTITUTE(B10,"-CO",""))&gt;0,"In-House","Vendor"))</f>
        <v/>
      </c>
      <c r="E10" s="40" t="inlineStr"/>
      <c r="F10" s="21">
        <f>IF(E10="","",E10*(1-VLOOKUP($G$6,Config!$A$10:$B$13,2,FALSE)))</f>
        <v/>
      </c>
      <c r="G10" s="21">
        <f>IF(B10="","",IFERROR(VLOOKUP(SUBSTITUTE(B10,"-CO","-OH"),'Parts Master'!$A:$H,4,FALSE),"N/A"))</f>
        <v/>
      </c>
    </row>
    <row r="11">
      <c r="B11" s="16" t="inlineStr"/>
      <c r="C11" s="20">
        <f>IF(B11="","",IFERROR(VLOOKUP(B11,'Parts Master'!$A:$H,2,FALSE),"Not Found"))</f>
        <v/>
      </c>
      <c r="D11" s="39">
        <f>IF(B11="","",IF(COUNTIF(BOM!$A:$A,SUBSTITUTE(B11,"-CO",""))&gt;0,"In-House","Vendor"))</f>
        <v/>
      </c>
      <c r="E11" s="40" t="inlineStr"/>
      <c r="F11" s="21">
        <f>IF(E11="","",E11*(1-VLOOKUP($G$6,Config!$A$10:$B$13,2,FALSE)))</f>
        <v/>
      </c>
      <c r="G11" s="21">
        <f>IF(B11="","",IFERROR(VLOOKUP(SUBSTITUTE(B11,"-CO","-OH"),'Parts Master'!$A:$H,4,FALSE),"N/A"))</f>
        <v/>
      </c>
    </row>
    <row r="12">
      <c r="B12" s="16" t="inlineStr"/>
      <c r="C12" s="20">
        <f>IF(B12="","",IFERROR(VLOOKUP(B12,'Parts Master'!$A:$H,2,FALSE),"Not Found"))</f>
        <v/>
      </c>
      <c r="D12" s="39">
        <f>IF(B12="","",IF(COUNTIF(BOM!$A:$A,SUBSTITUTE(B12,"-CO",""))&gt;0,"In-House","Vendor"))</f>
        <v/>
      </c>
      <c r="E12" s="40" t="inlineStr"/>
      <c r="F12" s="21">
        <f>IF(E12="","",E12*(1-VLOOKUP($G$6,Config!$A$10:$B$13,2,FALSE)))</f>
        <v/>
      </c>
      <c r="G12" s="21">
        <f>IF(B12="","",IFERROR(VLOOKUP(SUBSTITUTE(B12,"-CO","-OH"),'Parts Master'!$A:$H,4,FALSE),"N/A"))</f>
        <v/>
      </c>
    </row>
    <row r="13">
      <c r="B13" s="16" t="inlineStr"/>
      <c r="C13" s="20">
        <f>IF(B13="","",IFERROR(VLOOKUP(B13,'Parts Master'!$A:$H,2,FALSE),"Not Found"))</f>
        <v/>
      </c>
      <c r="D13" s="39">
        <f>IF(B13="","",IF(COUNTIF(BOM!$A:$A,SUBSTITUTE(B13,"-CO",""))&gt;0,"In-House","Vendor"))</f>
        <v/>
      </c>
      <c r="E13" s="40" t="inlineStr"/>
      <c r="F13" s="21">
        <f>IF(E13="","",E13*(1-VLOOKUP($G$6,Config!$A$10:$B$13,2,FALSE)))</f>
        <v/>
      </c>
      <c r="G13" s="21">
        <f>IF(B13="","",IFERROR(VLOOKUP(SUBSTITUTE(B13,"-CO","-OH"),'Parts Master'!$A:$H,4,FALSE),"N/A"))</f>
        <v/>
      </c>
    </row>
    <row r="15">
      <c r="B15" s="25" t="inlineStr">
        <is>
          <t>OVER &amp; ABOVE PARTS</t>
        </is>
      </c>
    </row>
    <row r="16">
      <c r="A16" s="41" t="inlineStr">
        <is>
          <t>#</t>
        </is>
      </c>
      <c r="B16" s="41" t="inlineStr">
        <is>
          <t>Part #</t>
        </is>
      </c>
      <c r="C16" s="41" t="inlineStr">
        <is>
          <t>Description</t>
        </is>
      </c>
      <c r="D16" s="41" t="inlineStr">
        <is>
          <t>Qty</t>
        </is>
      </c>
      <c r="E16" s="41" t="inlineStr">
        <is>
          <t>Unit $</t>
        </is>
      </c>
      <c r="F16" s="41" t="inlineStr">
        <is>
          <t>Override</t>
        </is>
      </c>
      <c r="G16" s="41" t="inlineStr">
        <is>
          <t>Extended</t>
        </is>
      </c>
      <c r="H16" s="41" t="inlineStr">
        <is>
          <t>Status</t>
        </is>
      </c>
    </row>
    <row r="17">
      <c r="A17" s="16" t="inlineStr"/>
      <c r="B17" s="16" t="inlineStr"/>
      <c r="C17" s="20">
        <f>IF(B17="","",IFERROR(VLOOKUP(B17,'Parts Master'!$A:$H,2,FALSE),""))</f>
        <v/>
      </c>
      <c r="D17" s="22" t="inlineStr"/>
      <c r="E17" s="21">
        <f>IF(B17="","",IFERROR(VLOOKUP(B17,'Parts Master'!$A:$H,4,FALSE),0))</f>
        <v/>
      </c>
      <c r="F17" s="40" t="inlineStr"/>
      <c r="G17" s="21">
        <f>IF(D17="","",IF(F17&lt;&gt;"",F17*D17,E17*D17))</f>
        <v/>
      </c>
      <c r="H17" s="16" t="inlineStr"/>
    </row>
    <row r="18">
      <c r="A18" s="16" t="inlineStr"/>
      <c r="B18" s="16" t="inlineStr"/>
      <c r="C18" s="20">
        <f>IF(B18="","",IFERROR(VLOOKUP(B18,'Parts Master'!$A:$H,2,FALSE),""))</f>
        <v/>
      </c>
      <c r="D18" s="22" t="inlineStr"/>
      <c r="E18" s="21">
        <f>IF(B18="","",IFERROR(VLOOKUP(B18,'Parts Master'!$A:$H,4,FALSE),0))</f>
        <v/>
      </c>
      <c r="F18" s="40" t="inlineStr"/>
      <c r="G18" s="21">
        <f>IF(D18="","",IF(F18&lt;&gt;"",F18*D18,E18*D18))</f>
        <v/>
      </c>
      <c r="H18" s="16" t="inlineStr"/>
    </row>
    <row r="19">
      <c r="A19" s="16" t="inlineStr"/>
      <c r="B19" s="16" t="inlineStr"/>
      <c r="C19" s="20">
        <f>IF(B19="","",IFERROR(VLOOKUP(B19,'Parts Master'!$A:$H,2,FALSE),""))</f>
        <v/>
      </c>
      <c r="D19" s="22" t="inlineStr"/>
      <c r="E19" s="21">
        <f>IF(B19="","",IFERROR(VLOOKUP(B19,'Parts Master'!$A:$H,4,FALSE),0))</f>
        <v/>
      </c>
      <c r="F19" s="40" t="inlineStr"/>
      <c r="G19" s="21">
        <f>IF(D19="","",IF(F19&lt;&gt;"",F19*D19,E19*D19))</f>
        <v/>
      </c>
      <c r="H19" s="16" t="inlineStr"/>
    </row>
    <row r="20">
      <c r="A20" s="16" t="inlineStr"/>
      <c r="B20" s="16" t="inlineStr"/>
      <c r="C20" s="20">
        <f>IF(B20="","",IFERROR(VLOOKUP(B20,'Parts Master'!$A:$H,2,FALSE),""))</f>
        <v/>
      </c>
      <c r="D20" s="22" t="inlineStr"/>
      <c r="E20" s="21">
        <f>IF(B20="","",IFERROR(VLOOKUP(B20,'Parts Master'!$A:$H,4,FALSE),0))</f>
        <v/>
      </c>
      <c r="F20" s="40" t="inlineStr"/>
      <c r="G20" s="21">
        <f>IF(D20="","",IF(F20&lt;&gt;"",F20*D20,E20*D20))</f>
        <v/>
      </c>
      <c r="H20" s="16" t="inlineStr"/>
    </row>
    <row r="21">
      <c r="A21" s="16" t="inlineStr"/>
      <c r="B21" s="16" t="inlineStr"/>
      <c r="C21" s="20">
        <f>IF(B21="","",IFERROR(VLOOKUP(B21,'Parts Master'!$A:$H,2,FALSE),""))</f>
        <v/>
      </c>
      <c r="D21" s="22" t="inlineStr"/>
      <c r="E21" s="21">
        <f>IF(B21="","",IFERROR(VLOOKUP(B21,'Parts Master'!$A:$H,4,FALSE),0))</f>
        <v/>
      </c>
      <c r="F21" s="40" t="inlineStr"/>
      <c r="G21" s="21">
        <f>IF(D21="","",IF(F21&lt;&gt;"",F21*D21,E21*D21))</f>
        <v/>
      </c>
      <c r="H21" s="16" t="inlineStr"/>
    </row>
    <row r="22">
      <c r="A22" s="16" t="inlineStr"/>
      <c r="B22" s="16" t="inlineStr"/>
      <c r="C22" s="20">
        <f>IF(B22="","",IFERROR(VLOOKUP(B22,'Parts Master'!$A:$H,2,FALSE),""))</f>
        <v/>
      </c>
      <c r="D22" s="22" t="inlineStr"/>
      <c r="E22" s="21">
        <f>IF(B22="","",IFERROR(VLOOKUP(B22,'Parts Master'!$A:$H,4,FALSE),0))</f>
        <v/>
      </c>
      <c r="F22" s="40" t="inlineStr"/>
      <c r="G22" s="21">
        <f>IF(D22="","",IF(F22&lt;&gt;"",F22*D22,E22*D22))</f>
        <v/>
      </c>
      <c r="H22" s="16" t="inlineStr"/>
    </row>
    <row r="23">
      <c r="A23" s="16" t="inlineStr"/>
      <c r="B23" s="16" t="inlineStr"/>
      <c r="C23" s="20">
        <f>IF(B23="","",IFERROR(VLOOKUP(B23,'Parts Master'!$A:$H,2,FALSE),""))</f>
        <v/>
      </c>
      <c r="D23" s="22" t="inlineStr"/>
      <c r="E23" s="21">
        <f>IF(B23="","",IFERROR(VLOOKUP(B23,'Parts Master'!$A:$H,4,FALSE),0))</f>
        <v/>
      </c>
      <c r="F23" s="40" t="inlineStr"/>
      <c r="G23" s="21">
        <f>IF(D23="","",IF(F23&lt;&gt;"",F23*D23,E23*D23))</f>
        <v/>
      </c>
      <c r="H23" s="16" t="inlineStr"/>
    </row>
    <row r="24">
      <c r="A24" s="16" t="inlineStr"/>
      <c r="B24" s="16" t="inlineStr"/>
      <c r="C24" s="20">
        <f>IF(B24="","",IFERROR(VLOOKUP(B24,'Parts Master'!$A:$H,2,FALSE),""))</f>
        <v/>
      </c>
      <c r="D24" s="22" t="inlineStr"/>
      <c r="E24" s="21">
        <f>IF(B24="","",IFERROR(VLOOKUP(B24,'Parts Master'!$A:$H,4,FALSE),0))</f>
        <v/>
      </c>
      <c r="F24" s="40" t="inlineStr"/>
      <c r="G24" s="21">
        <f>IF(D24="","",IF(F24&lt;&gt;"",F24*D24,E24*D24))</f>
        <v/>
      </c>
      <c r="H24" s="16" t="inlineStr"/>
    </row>
    <row r="25">
      <c r="A25" s="16" t="inlineStr"/>
      <c r="B25" s="16" t="inlineStr"/>
      <c r="C25" s="20">
        <f>IF(B25="","",IFERROR(VLOOKUP(B25,'Parts Master'!$A:$H,2,FALSE),""))</f>
        <v/>
      </c>
      <c r="D25" s="22" t="inlineStr"/>
      <c r="E25" s="21">
        <f>IF(B25="","",IFERROR(VLOOKUP(B25,'Parts Master'!$A:$H,4,FALSE),0))</f>
        <v/>
      </c>
      <c r="F25" s="40" t="inlineStr"/>
      <c r="G25" s="21">
        <f>IF(D25="","",IF(F25&lt;&gt;"",F25*D25,E25*D25))</f>
        <v/>
      </c>
      <c r="H25" s="16" t="inlineStr"/>
    </row>
    <row r="26">
      <c r="A26" s="16" t="inlineStr"/>
      <c r="B26" s="16" t="inlineStr"/>
      <c r="C26" s="20">
        <f>IF(B26="","",IFERROR(VLOOKUP(B26,'Parts Master'!$A:$H,2,FALSE),""))</f>
        <v/>
      </c>
      <c r="D26" s="22" t="inlineStr"/>
      <c r="E26" s="21">
        <f>IF(B26="","",IFERROR(VLOOKUP(B26,'Parts Master'!$A:$H,4,FALSE),0))</f>
        <v/>
      </c>
      <c r="F26" s="40" t="inlineStr"/>
      <c r="G26" s="21">
        <f>IF(D26="","",IF(F26&lt;&gt;"",F26*D26,E26*D26))</f>
        <v/>
      </c>
      <c r="H26" s="16" t="inlineStr"/>
    </row>
    <row r="28">
      <c r="E28" s="42" t="inlineStr">
        <is>
          <t>Labor Total:</t>
        </is>
      </c>
      <c r="G28" s="21">
        <f>SUM(F10:F13)</f>
        <v/>
      </c>
    </row>
    <row r="29">
      <c r="E29" s="42" t="inlineStr">
        <is>
          <t>Parts Total:</t>
        </is>
      </c>
      <c r="G29" s="21">
        <f>SUM(G17:G26)</f>
        <v/>
      </c>
    </row>
    <row r="30">
      <c r="E30" s="43" t="inlineStr">
        <is>
          <t>GRAND TOTAL:</t>
        </is>
      </c>
      <c r="G30" s="32">
        <f>G28+G29</f>
        <v/>
      </c>
    </row>
    <row r="32">
      <c r="B32" s="38" t="inlineStr">
        <is>
          <t>Notes:</t>
        </is>
      </c>
    </row>
    <row r="33">
      <c r="B33" s="33" t="inlineStr"/>
    </row>
    <row r="34"/>
    <row r="36">
      <c r="B36" s="6" t="inlineStr">
        <is>
          <t>5746 E Apache St, Tulsa, OK 74115 | 918-835-6948 | sales@qaainc.com | qaa.com</t>
        </is>
      </c>
    </row>
  </sheetData>
  <mergeCells count="8">
    <mergeCell ref="B36:H36"/>
    <mergeCell ref="E30:F30"/>
    <mergeCell ref="B15:I15"/>
    <mergeCell ref="B2:I2"/>
    <mergeCell ref="B3:I3"/>
    <mergeCell ref="B33:H34"/>
    <mergeCell ref="B1:I1"/>
    <mergeCell ref="C6:E6"/>
  </mergeCells>
  <dataValidations count="2">
    <dataValidation sqref="G6" showDropDown="0" showInputMessage="0" showErrorMessage="0" allowBlank="0" type="list">
      <formula1>"Standard,Tier 1,Tier 2,Tier 3"</formula1>
    </dataValidation>
    <dataValidation sqref="D7 F7 H7" showDropDown="0" showInputMessage="0" showErrorMessage="0" allowBlank="0" type="list">
      <formula1>"Yes,No"</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16" customWidth="1" min="1" max="1"/>
    <col width="24" customWidth="1" min="2" max="2"/>
    <col width="6" customWidth="1" min="3" max="3"/>
    <col width="5" customWidth="1" min="4" max="4"/>
    <col width="11" customWidth="1" min="5" max="5"/>
    <col width="11" customWidth="1" min="6" max="6"/>
    <col width="11" customWidth="1" min="7" max="7"/>
    <col width="11" customWidth="1" min="8" max="8"/>
    <col width="8" customWidth="1" min="9" max="9"/>
    <col width="10" customWidth="1" min="10" max="10"/>
  </cols>
  <sheetData>
    <row r="1">
      <c r="A1" s="36" t="inlineStr">
        <is>
          <t>QUALITY AIRCRAFT ACCESSORIES</t>
        </is>
      </c>
    </row>
    <row r="2">
      <c r="A2" s="44" t="inlineStr">
        <is>
          <t>A Hartzell Engine Technologies Company</t>
        </is>
      </c>
    </row>
    <row r="3" ht="28" customHeight="1">
      <c r="A3" s="45" t="inlineStr">
        <is>
          <t>EXCHANGE / INVENTORY SALE QUOTE</t>
        </is>
      </c>
    </row>
    <row r="5">
      <c r="A5" s="38" t="inlineStr">
        <is>
          <t>Quote #:</t>
        </is>
      </c>
      <c r="B5" s="14">
        <f>Config!B2&amp;"-"&amp;TEXT(Config!B3,"00000")</f>
        <v/>
      </c>
      <c r="D5" s="38" t="inlineStr">
        <is>
          <t>Date:</t>
        </is>
      </c>
      <c r="E5" t="inlineStr">
        <is>
          <t>01/09/2026</t>
        </is>
      </c>
      <c r="G5" s="38" t="inlineStr">
        <is>
          <t>Valid:</t>
        </is>
      </c>
      <c r="H5" t="inlineStr">
        <is>
          <t>30 Days</t>
        </is>
      </c>
    </row>
    <row r="6">
      <c r="A6" s="38" t="inlineStr">
        <is>
          <t>Customer Email:</t>
        </is>
      </c>
      <c r="B6" s="16" t="inlineStr"/>
      <c r="F6" s="38" t="inlineStr">
        <is>
          <t>Tier:</t>
        </is>
      </c>
      <c r="G6" s="16" t="inlineStr">
        <is>
          <t>Standard</t>
        </is>
      </c>
    </row>
    <row r="7">
      <c r="A7" t="inlineStr">
        <is>
          <t>Approval?</t>
        </is>
      </c>
      <c r="B7" s="16" t="inlineStr">
        <is>
          <t>No</t>
        </is>
      </c>
      <c r="C7" t="inlineStr">
        <is>
          <t>Ship?</t>
        </is>
      </c>
      <c r="D7" s="16" t="inlineStr">
        <is>
          <t>No</t>
        </is>
      </c>
      <c r="E7" t="inlineStr">
        <is>
          <t>Payment?</t>
        </is>
      </c>
      <c r="F7" s="16" t="inlineStr">
        <is>
          <t>No</t>
        </is>
      </c>
      <c r="G7" t="inlineStr">
        <is>
          <t>Core In Hand?</t>
        </is>
      </c>
      <c r="H7" s="16" t="inlineStr">
        <is>
          <t>No</t>
        </is>
      </c>
    </row>
    <row r="8">
      <c r="A8" s="18" t="n"/>
      <c r="B8" s="18" t="n"/>
      <c r="C8" s="18" t="n"/>
      <c r="D8" s="18" t="n"/>
      <c r="E8" s="18" t="n"/>
      <c r="F8" s="18" t="n"/>
      <c r="G8" s="18" t="n"/>
      <c r="H8" s="18" t="n"/>
      <c r="I8" s="18" t="n"/>
      <c r="J8" s="18" t="n"/>
    </row>
    <row r="9" ht="24" customHeight="1">
      <c r="A9" s="19" t="inlineStr">
        <is>
          <t>Part #</t>
        </is>
      </c>
      <c r="B9" s="19" t="inlineStr">
        <is>
          <t>Description</t>
        </is>
      </c>
      <c r="C9" s="19" t="inlineStr">
        <is>
          <t>Cond</t>
        </is>
      </c>
      <c r="D9" s="19" t="inlineStr">
        <is>
          <t>Qty</t>
        </is>
      </c>
      <c r="E9" s="19" t="inlineStr">
        <is>
          <t>List $</t>
        </is>
      </c>
      <c r="F9" s="19" t="inlineStr">
        <is>
          <t>Your $</t>
        </is>
      </c>
      <c r="G9" s="19" t="inlineStr">
        <is>
          <t>Extended</t>
        </is>
      </c>
      <c r="H9" s="19" t="inlineStr">
        <is>
          <t>Core $</t>
        </is>
      </c>
      <c r="I9" s="19" t="inlineStr">
        <is>
          <t>Stock</t>
        </is>
      </c>
      <c r="J9" s="19" t="inlineStr">
        <is>
          <t>Lead</t>
        </is>
      </c>
    </row>
    <row r="10">
      <c r="A10" s="16" t="inlineStr"/>
      <c r="B10" s="20">
        <f>IF(A10="","",IFERROR(VLOOKUP(A10,'Parts Master'!$A:$H,2,FALSE),"Not Found"))</f>
        <v/>
      </c>
      <c r="C10" s="39">
        <f>IF(A10="","",IFERROR(VLOOKUP(A10,'Parts Master'!$A:$H,3,FALSE),""))</f>
        <v/>
      </c>
      <c r="D10" s="22" t="inlineStr"/>
      <c r="E10" s="21">
        <f>IF(A10="","",IFERROR(VLOOKUP(A10,'Parts Master'!$A:$H,4,FALSE),0))</f>
        <v/>
      </c>
      <c r="F10" s="21">
        <f>IF(E10="","",E10*(1-VLOOKUP($G$6,Config!$A$10:$B$13,2,FALSE)))</f>
        <v/>
      </c>
      <c r="G10" s="21">
        <f>IF(D10="","",F10*D10)</f>
        <v/>
      </c>
      <c r="H10" s="21">
        <f>IF(A10="","",IF($H$7="Yes",0,IFERROR(VLOOKUP(A10,'Parts Master'!$A:$H,5,FALSE),0)*D10))</f>
        <v/>
      </c>
      <c r="I10" s="39">
        <f>IF(A10="","",IFERROR(VLOOKUP(A10,'Parts Master'!$A:$H,6,FALSE),""))</f>
        <v/>
      </c>
      <c r="J10" s="20">
        <f>IF(A10="","",IFERROR(VLOOKUP(A10,'Parts Master'!$A:$H,7,FALSE),""))</f>
        <v/>
      </c>
    </row>
    <row r="11">
      <c r="A11" s="16" t="inlineStr"/>
      <c r="B11" s="20">
        <f>IF(A11="","",IFERROR(VLOOKUP(A11,'Parts Master'!$A:$H,2,FALSE),"Not Found"))</f>
        <v/>
      </c>
      <c r="C11" s="39">
        <f>IF(A11="","",IFERROR(VLOOKUP(A11,'Parts Master'!$A:$H,3,FALSE),""))</f>
        <v/>
      </c>
      <c r="D11" s="22" t="inlineStr"/>
      <c r="E11" s="21">
        <f>IF(A11="","",IFERROR(VLOOKUP(A11,'Parts Master'!$A:$H,4,FALSE),0))</f>
        <v/>
      </c>
      <c r="F11" s="21">
        <f>IF(E11="","",E11*(1-VLOOKUP($G$6,Config!$A$10:$B$13,2,FALSE)))</f>
        <v/>
      </c>
      <c r="G11" s="21">
        <f>IF(D11="","",F11*D11)</f>
        <v/>
      </c>
      <c r="H11" s="21">
        <f>IF(A11="","",IF($H$7="Yes",0,IFERROR(VLOOKUP(A11,'Parts Master'!$A:$H,5,FALSE),0)*D11))</f>
        <v/>
      </c>
      <c r="I11" s="39">
        <f>IF(A11="","",IFERROR(VLOOKUP(A11,'Parts Master'!$A:$H,6,FALSE),""))</f>
        <v/>
      </c>
      <c r="J11" s="20">
        <f>IF(A11="","",IFERROR(VLOOKUP(A11,'Parts Master'!$A:$H,7,FALSE),""))</f>
        <v/>
      </c>
    </row>
    <row r="12">
      <c r="A12" s="16" t="inlineStr"/>
      <c r="B12" s="20">
        <f>IF(A12="","",IFERROR(VLOOKUP(A12,'Parts Master'!$A:$H,2,FALSE),"Not Found"))</f>
        <v/>
      </c>
      <c r="C12" s="39">
        <f>IF(A12="","",IFERROR(VLOOKUP(A12,'Parts Master'!$A:$H,3,FALSE),""))</f>
        <v/>
      </c>
      <c r="D12" s="22" t="inlineStr"/>
      <c r="E12" s="21">
        <f>IF(A12="","",IFERROR(VLOOKUP(A12,'Parts Master'!$A:$H,4,FALSE),0))</f>
        <v/>
      </c>
      <c r="F12" s="21">
        <f>IF(E12="","",E12*(1-VLOOKUP($G$6,Config!$A$10:$B$13,2,FALSE)))</f>
        <v/>
      </c>
      <c r="G12" s="21">
        <f>IF(D12="","",F12*D12)</f>
        <v/>
      </c>
      <c r="H12" s="21">
        <f>IF(A12="","",IF($H$7="Yes",0,IFERROR(VLOOKUP(A12,'Parts Master'!$A:$H,5,FALSE),0)*D12))</f>
        <v/>
      </c>
      <c r="I12" s="39">
        <f>IF(A12="","",IFERROR(VLOOKUP(A12,'Parts Master'!$A:$H,6,FALSE),""))</f>
        <v/>
      </c>
      <c r="J12" s="20">
        <f>IF(A12="","",IFERROR(VLOOKUP(A12,'Parts Master'!$A:$H,7,FALSE),""))</f>
        <v/>
      </c>
    </row>
    <row r="13">
      <c r="A13" s="16" t="inlineStr"/>
      <c r="B13" s="20">
        <f>IF(A13="","",IFERROR(VLOOKUP(A13,'Parts Master'!$A:$H,2,FALSE),"Not Found"))</f>
        <v/>
      </c>
      <c r="C13" s="39">
        <f>IF(A13="","",IFERROR(VLOOKUP(A13,'Parts Master'!$A:$H,3,FALSE),""))</f>
        <v/>
      </c>
      <c r="D13" s="22" t="inlineStr"/>
      <c r="E13" s="21">
        <f>IF(A13="","",IFERROR(VLOOKUP(A13,'Parts Master'!$A:$H,4,FALSE),0))</f>
        <v/>
      </c>
      <c r="F13" s="21">
        <f>IF(E13="","",E13*(1-VLOOKUP($G$6,Config!$A$10:$B$13,2,FALSE)))</f>
        <v/>
      </c>
      <c r="G13" s="21">
        <f>IF(D13="","",F13*D13)</f>
        <v/>
      </c>
      <c r="H13" s="21">
        <f>IF(A13="","",IF($H$7="Yes",0,IFERROR(VLOOKUP(A13,'Parts Master'!$A:$H,5,FALSE),0)*D13))</f>
        <v/>
      </c>
      <c r="I13" s="39">
        <f>IF(A13="","",IFERROR(VLOOKUP(A13,'Parts Master'!$A:$H,6,FALSE),""))</f>
        <v/>
      </c>
      <c r="J13" s="20">
        <f>IF(A13="","",IFERROR(VLOOKUP(A13,'Parts Master'!$A:$H,7,FALSE),""))</f>
        <v/>
      </c>
    </row>
    <row r="14">
      <c r="A14" s="16" t="inlineStr"/>
      <c r="B14" s="20">
        <f>IF(A14="","",IFERROR(VLOOKUP(A14,'Parts Master'!$A:$H,2,FALSE),"Not Found"))</f>
        <v/>
      </c>
      <c r="C14" s="39">
        <f>IF(A14="","",IFERROR(VLOOKUP(A14,'Parts Master'!$A:$H,3,FALSE),""))</f>
        <v/>
      </c>
      <c r="D14" s="22" t="inlineStr"/>
      <c r="E14" s="21">
        <f>IF(A14="","",IFERROR(VLOOKUP(A14,'Parts Master'!$A:$H,4,FALSE),0))</f>
        <v/>
      </c>
      <c r="F14" s="21">
        <f>IF(E14="","",E14*(1-VLOOKUP($G$6,Config!$A$10:$B$13,2,FALSE)))</f>
        <v/>
      </c>
      <c r="G14" s="21">
        <f>IF(D14="","",F14*D14)</f>
        <v/>
      </c>
      <c r="H14" s="21">
        <f>IF(A14="","",IF($H$7="Yes",0,IFERROR(VLOOKUP(A14,'Parts Master'!$A:$H,5,FALSE),0)*D14))</f>
        <v/>
      </c>
      <c r="I14" s="39">
        <f>IF(A14="","",IFERROR(VLOOKUP(A14,'Parts Master'!$A:$H,6,FALSE),""))</f>
        <v/>
      </c>
      <c r="J14" s="20">
        <f>IF(A14="","",IFERROR(VLOOKUP(A14,'Parts Master'!$A:$H,7,FALSE),""))</f>
        <v/>
      </c>
    </row>
    <row r="15">
      <c r="A15" s="16" t="inlineStr"/>
      <c r="B15" s="20">
        <f>IF(A15="","",IFERROR(VLOOKUP(A15,'Parts Master'!$A:$H,2,FALSE),"Not Found"))</f>
        <v/>
      </c>
      <c r="C15" s="39">
        <f>IF(A15="","",IFERROR(VLOOKUP(A15,'Parts Master'!$A:$H,3,FALSE),""))</f>
        <v/>
      </c>
      <c r="D15" s="22" t="inlineStr"/>
      <c r="E15" s="21">
        <f>IF(A15="","",IFERROR(VLOOKUP(A15,'Parts Master'!$A:$H,4,FALSE),0))</f>
        <v/>
      </c>
      <c r="F15" s="21">
        <f>IF(E15="","",E15*(1-VLOOKUP($G$6,Config!$A$10:$B$13,2,FALSE)))</f>
        <v/>
      </c>
      <c r="G15" s="21">
        <f>IF(D15="","",F15*D15)</f>
        <v/>
      </c>
      <c r="H15" s="21">
        <f>IF(A15="","",IF($H$7="Yes",0,IFERROR(VLOOKUP(A15,'Parts Master'!$A:$H,5,FALSE),0)*D15))</f>
        <v/>
      </c>
      <c r="I15" s="39">
        <f>IF(A15="","",IFERROR(VLOOKUP(A15,'Parts Master'!$A:$H,6,FALSE),""))</f>
        <v/>
      </c>
      <c r="J15" s="20">
        <f>IF(A15="","",IFERROR(VLOOKUP(A15,'Parts Master'!$A:$H,7,FALSE),""))</f>
        <v/>
      </c>
    </row>
    <row r="16">
      <c r="A16" s="16" t="inlineStr"/>
      <c r="B16" s="20">
        <f>IF(A16="","",IFERROR(VLOOKUP(A16,'Parts Master'!$A:$H,2,FALSE),"Not Found"))</f>
        <v/>
      </c>
      <c r="C16" s="39">
        <f>IF(A16="","",IFERROR(VLOOKUP(A16,'Parts Master'!$A:$H,3,FALSE),""))</f>
        <v/>
      </c>
      <c r="D16" s="22" t="inlineStr"/>
      <c r="E16" s="21">
        <f>IF(A16="","",IFERROR(VLOOKUP(A16,'Parts Master'!$A:$H,4,FALSE),0))</f>
        <v/>
      </c>
      <c r="F16" s="21">
        <f>IF(E16="","",E16*(1-VLOOKUP($G$6,Config!$A$10:$B$13,2,FALSE)))</f>
        <v/>
      </c>
      <c r="G16" s="21">
        <f>IF(D16="","",F16*D16)</f>
        <v/>
      </c>
      <c r="H16" s="21">
        <f>IF(A16="","",IF($H$7="Yes",0,IFERROR(VLOOKUP(A16,'Parts Master'!$A:$H,5,FALSE),0)*D16))</f>
        <v/>
      </c>
      <c r="I16" s="39">
        <f>IF(A16="","",IFERROR(VLOOKUP(A16,'Parts Master'!$A:$H,6,FALSE),""))</f>
        <v/>
      </c>
      <c r="J16" s="20">
        <f>IF(A16="","",IFERROR(VLOOKUP(A16,'Parts Master'!$A:$H,7,FALSE),""))</f>
        <v/>
      </c>
    </row>
    <row r="17">
      <c r="A17" s="16" t="inlineStr"/>
      <c r="B17" s="20">
        <f>IF(A17="","",IFERROR(VLOOKUP(A17,'Parts Master'!$A:$H,2,FALSE),"Not Found"))</f>
        <v/>
      </c>
      <c r="C17" s="39">
        <f>IF(A17="","",IFERROR(VLOOKUP(A17,'Parts Master'!$A:$H,3,FALSE),""))</f>
        <v/>
      </c>
      <c r="D17" s="22" t="inlineStr"/>
      <c r="E17" s="21">
        <f>IF(A17="","",IFERROR(VLOOKUP(A17,'Parts Master'!$A:$H,4,FALSE),0))</f>
        <v/>
      </c>
      <c r="F17" s="21">
        <f>IF(E17="","",E17*(1-VLOOKUP($G$6,Config!$A$10:$B$13,2,FALSE)))</f>
        <v/>
      </c>
      <c r="G17" s="21">
        <f>IF(D17="","",F17*D17)</f>
        <v/>
      </c>
      <c r="H17" s="21">
        <f>IF(A17="","",IF($H$7="Yes",0,IFERROR(VLOOKUP(A17,'Parts Master'!$A:$H,5,FALSE),0)*D17))</f>
        <v/>
      </c>
      <c r="I17" s="39">
        <f>IF(A17="","",IFERROR(VLOOKUP(A17,'Parts Master'!$A:$H,6,FALSE),""))</f>
        <v/>
      </c>
      <c r="J17" s="20">
        <f>IF(A17="","",IFERROR(VLOOKUP(A17,'Parts Master'!$A:$H,7,FALSE),""))</f>
        <v/>
      </c>
    </row>
    <row r="18">
      <c r="A18" s="16" t="inlineStr"/>
      <c r="B18" s="20">
        <f>IF(A18="","",IFERROR(VLOOKUP(A18,'Parts Master'!$A:$H,2,FALSE),"Not Found"))</f>
        <v/>
      </c>
      <c r="C18" s="39">
        <f>IF(A18="","",IFERROR(VLOOKUP(A18,'Parts Master'!$A:$H,3,FALSE),""))</f>
        <v/>
      </c>
      <c r="D18" s="22" t="inlineStr"/>
      <c r="E18" s="21">
        <f>IF(A18="","",IFERROR(VLOOKUP(A18,'Parts Master'!$A:$H,4,FALSE),0))</f>
        <v/>
      </c>
      <c r="F18" s="21">
        <f>IF(E18="","",E18*(1-VLOOKUP($G$6,Config!$A$10:$B$13,2,FALSE)))</f>
        <v/>
      </c>
      <c r="G18" s="21">
        <f>IF(D18="","",F18*D18)</f>
        <v/>
      </c>
      <c r="H18" s="21">
        <f>IF(A18="","",IF($H$7="Yes",0,IFERROR(VLOOKUP(A18,'Parts Master'!$A:$H,5,FALSE),0)*D18))</f>
        <v/>
      </c>
      <c r="I18" s="39">
        <f>IF(A18="","",IFERROR(VLOOKUP(A18,'Parts Master'!$A:$H,6,FALSE),""))</f>
        <v/>
      </c>
      <c r="J18" s="20">
        <f>IF(A18="","",IFERROR(VLOOKUP(A18,'Parts Master'!$A:$H,7,FALSE),""))</f>
        <v/>
      </c>
    </row>
    <row r="19">
      <c r="A19" s="16" t="inlineStr"/>
      <c r="B19" s="20">
        <f>IF(A19="","",IFERROR(VLOOKUP(A19,'Parts Master'!$A:$H,2,FALSE),"Not Found"))</f>
        <v/>
      </c>
      <c r="C19" s="39">
        <f>IF(A19="","",IFERROR(VLOOKUP(A19,'Parts Master'!$A:$H,3,FALSE),""))</f>
        <v/>
      </c>
      <c r="D19" s="22" t="inlineStr"/>
      <c r="E19" s="21">
        <f>IF(A19="","",IFERROR(VLOOKUP(A19,'Parts Master'!$A:$H,4,FALSE),0))</f>
        <v/>
      </c>
      <c r="F19" s="21">
        <f>IF(E19="","",E19*(1-VLOOKUP($G$6,Config!$A$10:$B$13,2,FALSE)))</f>
        <v/>
      </c>
      <c r="G19" s="21">
        <f>IF(D19="","",F19*D19)</f>
        <v/>
      </c>
      <c r="H19" s="21">
        <f>IF(A19="","",IF($H$7="Yes",0,IFERROR(VLOOKUP(A19,'Parts Master'!$A:$H,5,FALSE),0)*D19))</f>
        <v/>
      </c>
      <c r="I19" s="39">
        <f>IF(A19="","",IFERROR(VLOOKUP(A19,'Parts Master'!$A:$H,6,FALSE),""))</f>
        <v/>
      </c>
      <c r="J19" s="20">
        <f>IF(A19="","",IFERROR(VLOOKUP(A19,'Parts Master'!$A:$H,7,FALSE),""))</f>
        <v/>
      </c>
    </row>
    <row r="20">
      <c r="A20" s="16" t="inlineStr"/>
      <c r="B20" s="20">
        <f>IF(A20="","",IFERROR(VLOOKUP(A20,'Parts Master'!$A:$H,2,FALSE),"Not Found"))</f>
        <v/>
      </c>
      <c r="C20" s="39">
        <f>IF(A20="","",IFERROR(VLOOKUP(A20,'Parts Master'!$A:$H,3,FALSE),""))</f>
        <v/>
      </c>
      <c r="D20" s="22" t="inlineStr"/>
      <c r="E20" s="21">
        <f>IF(A20="","",IFERROR(VLOOKUP(A20,'Parts Master'!$A:$H,4,FALSE),0))</f>
        <v/>
      </c>
      <c r="F20" s="21">
        <f>IF(E20="","",E20*(1-VLOOKUP($G$6,Config!$A$10:$B$13,2,FALSE)))</f>
        <v/>
      </c>
      <c r="G20" s="21">
        <f>IF(D20="","",F20*D20)</f>
        <v/>
      </c>
      <c r="H20" s="21">
        <f>IF(A20="","",IF($H$7="Yes",0,IFERROR(VLOOKUP(A20,'Parts Master'!$A:$H,5,FALSE),0)*D20))</f>
        <v/>
      </c>
      <c r="I20" s="39">
        <f>IF(A20="","",IFERROR(VLOOKUP(A20,'Parts Master'!$A:$H,6,FALSE),""))</f>
        <v/>
      </c>
      <c r="J20" s="20">
        <f>IF(A20="","",IFERROR(VLOOKUP(A20,'Parts Master'!$A:$H,7,FALSE),""))</f>
        <v/>
      </c>
    </row>
    <row r="21">
      <c r="A21" s="16" t="inlineStr"/>
      <c r="B21" s="20">
        <f>IF(A21="","",IFERROR(VLOOKUP(A21,'Parts Master'!$A:$H,2,FALSE),"Not Found"))</f>
        <v/>
      </c>
      <c r="C21" s="39">
        <f>IF(A21="","",IFERROR(VLOOKUP(A21,'Parts Master'!$A:$H,3,FALSE),""))</f>
        <v/>
      </c>
      <c r="D21" s="22" t="inlineStr"/>
      <c r="E21" s="21">
        <f>IF(A21="","",IFERROR(VLOOKUP(A21,'Parts Master'!$A:$H,4,FALSE),0))</f>
        <v/>
      </c>
      <c r="F21" s="21">
        <f>IF(E21="","",E21*(1-VLOOKUP($G$6,Config!$A$10:$B$13,2,FALSE)))</f>
        <v/>
      </c>
      <c r="G21" s="21">
        <f>IF(D21="","",F21*D21)</f>
        <v/>
      </c>
      <c r="H21" s="21">
        <f>IF(A21="","",IF($H$7="Yes",0,IFERROR(VLOOKUP(A21,'Parts Master'!$A:$H,5,FALSE),0)*D21))</f>
        <v/>
      </c>
      <c r="I21" s="39">
        <f>IF(A21="","",IFERROR(VLOOKUP(A21,'Parts Master'!$A:$H,6,FALSE),""))</f>
        <v/>
      </c>
      <c r="J21" s="20">
        <f>IF(A21="","",IFERROR(VLOOKUP(A21,'Parts Master'!$A:$H,7,FALSE),""))</f>
        <v/>
      </c>
    </row>
    <row r="23">
      <c r="A23" s="38" t="inlineStr">
        <is>
          <t>Subtotal:</t>
        </is>
      </c>
      <c r="B23" s="21">
        <f>SUM(G10:G21)</f>
        <v/>
      </c>
      <c r="D23" s="38" t="inlineStr">
        <is>
          <t>Core:</t>
        </is>
      </c>
      <c r="E23" s="21">
        <f>SUM(H10:H21)</f>
        <v/>
      </c>
      <c r="F23" s="46">
        <f>IF(H7="Yes","(WAIVED)","")</f>
        <v/>
      </c>
      <c r="G23" s="47" t="inlineStr">
        <is>
          <t>Savings:</t>
        </is>
      </c>
      <c r="H23" s="48">
        <f>SUM(E10:E21)-SUM(F10:F21)</f>
        <v/>
      </c>
    </row>
    <row r="24">
      <c r="D24" s="43" t="inlineStr">
        <is>
          <t>GRAND TOTAL:</t>
        </is>
      </c>
      <c r="F24" s="32">
        <f>B23+IF(H7="Yes",0,E23)</f>
        <v/>
      </c>
    </row>
    <row r="26">
      <c r="A26" s="38" t="inlineStr">
        <is>
          <t>Notes:</t>
        </is>
      </c>
    </row>
    <row r="27">
      <c r="A27" s="16" t="inlineStr"/>
    </row>
    <row r="28"/>
    <row r="30">
      <c r="A30" s="49" t="inlineStr">
        <is>
          <t>Core charges refunded upon receipt of serviceable core within 30 days.</t>
        </is>
      </c>
    </row>
    <row r="31">
      <c r="A31" s="6" t="inlineStr">
        <is>
          <t>5746 E Apache St, Tulsa, OK 74115 | 918-835-6948 | sales@qaainc.com | qaa.com</t>
        </is>
      </c>
    </row>
  </sheetData>
  <mergeCells count="9">
    <mergeCell ref="A1:J1"/>
    <mergeCell ref="F24:G24"/>
    <mergeCell ref="D24:E24"/>
    <mergeCell ref="A31:J31"/>
    <mergeCell ref="A3:J3"/>
    <mergeCell ref="A27:J28"/>
    <mergeCell ref="A30:J30"/>
    <mergeCell ref="A2:J2"/>
    <mergeCell ref="B6:D6"/>
  </mergeCells>
  <dataValidations count="2">
    <dataValidation sqref="G6" showDropDown="0" showInputMessage="0" showErrorMessage="0" allowBlank="0" type="list">
      <formula1>"Standard,Tier 1,Tier 2,Tier 3"</formula1>
    </dataValidation>
    <dataValidation sqref="B7 D7 F7 H7" showDropDown="0" showInputMessage="0" showErrorMessage="0" allowBlank="0" type="list">
      <formula1>"Yes,No"</formula1>
    </dataValidation>
  </dataValidations>
  <pageMargins left="0.75" right="0.75" top="1" bottom="1" header="0.5" footer="0.5"/>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56"/>
  <sheetViews>
    <sheetView workbookViewId="0">
      <pane ySplit="3" topLeftCell="A4" activePane="bottomLeft" state="frozen"/>
      <selection pane="bottomLeft" activeCell="A1" sqref="A1"/>
    </sheetView>
  </sheetViews>
  <sheetFormatPr baseColWidth="8" defaultRowHeight="15"/>
  <cols>
    <col width="14" customWidth="1" min="1" max="1"/>
    <col width="11" customWidth="1" min="2" max="2"/>
    <col width="25" customWidth="1" min="3" max="3"/>
    <col width="12" customWidth="1" min="4" max="4"/>
    <col width="12" customWidth="1" min="5" max="5"/>
    <col width="10" customWidth="1" min="6" max="6"/>
    <col width="10" customWidth="1" min="7" max="7"/>
    <col width="10" customWidth="1" min="8" max="8"/>
    <col width="10" customWidth="1" min="9" max="9"/>
    <col width="12" customWidth="1" min="10" max="10"/>
    <col width="10" customWidth="1" min="11" max="11"/>
    <col width="10" customWidth="1" min="12" max="12"/>
    <col width="40" customWidth="1" min="13" max="13"/>
  </cols>
  <sheetData>
    <row r="1" ht="30" customHeight="1">
      <c r="A1" s="50" t="inlineStr">
        <is>
          <t>QUOTE TRACKER - Follow-up &amp; Status Management</t>
        </is>
      </c>
    </row>
    <row r="2">
      <c r="A2" s="49" t="inlineStr">
        <is>
          <t>★ RED rows = needs follow-up (7+ days since last contact) | ★ Mark needs as DONE when fulfilled | ★ Set Status to CLOSED when complete</t>
        </is>
      </c>
    </row>
    <row r="3" ht="28" customHeight="1">
      <c r="A3" s="19" t="inlineStr">
        <is>
          <t>Quote #</t>
        </is>
      </c>
      <c r="B3" s="19" t="inlineStr">
        <is>
          <t>Created</t>
        </is>
      </c>
      <c r="C3" s="19" t="inlineStr">
        <is>
          <t>Customer Email</t>
        </is>
      </c>
      <c r="D3" s="19" t="inlineStr">
        <is>
          <t>Type</t>
        </is>
      </c>
      <c r="E3" s="19" t="inlineStr">
        <is>
          <t>Amount</t>
        </is>
      </c>
      <c r="F3" s="19" t="inlineStr">
        <is>
          <t>Approval</t>
        </is>
      </c>
      <c r="G3" s="19" t="inlineStr">
        <is>
          <t>Shipping</t>
        </is>
      </c>
      <c r="H3" s="19" t="inlineStr">
        <is>
          <t>Payment</t>
        </is>
      </c>
      <c r="I3" s="19" t="inlineStr">
        <is>
          <t>Reminders</t>
        </is>
      </c>
      <c r="J3" s="19" t="inlineStr">
        <is>
          <t>Last Contact</t>
        </is>
      </c>
      <c r="K3" s="19" t="inlineStr">
        <is>
          <t>Days Since</t>
        </is>
      </c>
      <c r="L3" s="19" t="inlineStr">
        <is>
          <t>Status</t>
        </is>
      </c>
      <c r="M3" s="19" t="inlineStr">
        <is>
          <t>Notes / Email Reference</t>
        </is>
      </c>
    </row>
    <row r="4">
      <c r="A4" s="51" t="n"/>
      <c r="B4" s="52" t="n"/>
      <c r="C4" s="51" t="n"/>
      <c r="D4" s="53" t="n"/>
      <c r="E4" s="54" t="n"/>
      <c r="F4" s="53" t="n"/>
      <c r="G4" s="53" t="n"/>
      <c r="H4" s="53" t="n"/>
      <c r="I4" s="53" t="n"/>
      <c r="J4" s="52" t="n"/>
      <c r="K4" s="53">
        <f>IF(J4="","",TODAY()-J4)</f>
        <v/>
      </c>
      <c r="L4" s="53" t="n"/>
      <c r="M4" s="55" t="n"/>
    </row>
    <row r="5">
      <c r="A5" s="51" t="n"/>
      <c r="B5" s="52" t="n"/>
      <c r="C5" s="51" t="n"/>
      <c r="D5" s="53" t="n"/>
      <c r="E5" s="54" t="n"/>
      <c r="F5" s="53" t="n"/>
      <c r="G5" s="53" t="n"/>
      <c r="H5" s="53" t="n"/>
      <c r="I5" s="53" t="n"/>
      <c r="J5" s="52" t="n"/>
      <c r="K5" s="53">
        <f>IF(J5="","",TODAY()-J5)</f>
        <v/>
      </c>
      <c r="L5" s="53" t="n"/>
      <c r="M5" s="55" t="n"/>
    </row>
    <row r="6">
      <c r="A6" s="51" t="n"/>
      <c r="B6" s="52" t="n"/>
      <c r="C6" s="51" t="n"/>
      <c r="D6" s="53" t="n"/>
      <c r="E6" s="54" t="n"/>
      <c r="F6" s="53" t="n"/>
      <c r="G6" s="53" t="n"/>
      <c r="H6" s="53" t="n"/>
      <c r="I6" s="53" t="n"/>
      <c r="J6" s="52" t="n"/>
      <c r="K6" s="53">
        <f>IF(J6="","",TODAY()-J6)</f>
        <v/>
      </c>
      <c r="L6" s="53" t="n"/>
      <c r="M6" s="55" t="n"/>
    </row>
    <row r="7">
      <c r="A7" s="51" t="n"/>
      <c r="B7" s="52" t="n"/>
      <c r="C7" s="51" t="n"/>
      <c r="D7" s="53" t="n"/>
      <c r="E7" s="54" t="n"/>
      <c r="F7" s="53" t="n"/>
      <c r="G7" s="53" t="n"/>
      <c r="H7" s="53" t="n"/>
      <c r="I7" s="53" t="n"/>
      <c r="J7" s="52" t="n"/>
      <c r="K7" s="53">
        <f>IF(J7="","",TODAY()-J7)</f>
        <v/>
      </c>
      <c r="L7" s="53" t="n"/>
      <c r="M7" s="55" t="n"/>
    </row>
    <row r="8">
      <c r="A8" s="51" t="n"/>
      <c r="B8" s="52" t="n"/>
      <c r="C8" s="51" t="n"/>
      <c r="D8" s="53" t="n"/>
      <c r="E8" s="54" t="n"/>
      <c r="F8" s="53" t="n"/>
      <c r="G8" s="53" t="n"/>
      <c r="H8" s="53" t="n"/>
      <c r="I8" s="53" t="n"/>
      <c r="J8" s="52" t="n"/>
      <c r="K8" s="53">
        <f>IF(J8="","",TODAY()-J8)</f>
        <v/>
      </c>
      <c r="L8" s="53" t="n"/>
      <c r="M8" s="55" t="n"/>
    </row>
    <row r="9">
      <c r="A9" s="51" t="n"/>
      <c r="B9" s="52" t="n"/>
      <c r="C9" s="51" t="n"/>
      <c r="D9" s="53" t="n"/>
      <c r="E9" s="54" t="n"/>
      <c r="F9" s="53" t="n"/>
      <c r="G9" s="53" t="n"/>
      <c r="H9" s="53" t="n"/>
      <c r="I9" s="53" t="n"/>
      <c r="J9" s="52" t="n"/>
      <c r="K9" s="53">
        <f>IF(J9="","",TODAY()-J9)</f>
        <v/>
      </c>
      <c r="L9" s="53" t="n"/>
      <c r="M9" s="55" t="n"/>
    </row>
    <row r="10">
      <c r="A10" s="51" t="n"/>
      <c r="B10" s="52" t="n"/>
      <c r="C10" s="51" t="n"/>
      <c r="D10" s="53" t="n"/>
      <c r="E10" s="54" t="n"/>
      <c r="F10" s="53" t="n"/>
      <c r="G10" s="53" t="n"/>
      <c r="H10" s="53" t="n"/>
      <c r="I10" s="53" t="n"/>
      <c r="J10" s="52" t="n"/>
      <c r="K10" s="53">
        <f>IF(J10="","",TODAY()-J10)</f>
        <v/>
      </c>
      <c r="L10" s="53" t="n"/>
      <c r="M10" s="55" t="n"/>
    </row>
    <row r="11">
      <c r="A11" s="51" t="n"/>
      <c r="B11" s="52" t="n"/>
      <c r="C11" s="51" t="n"/>
      <c r="D11" s="53" t="n"/>
      <c r="E11" s="54" t="n"/>
      <c r="F11" s="53" t="n"/>
      <c r="G11" s="53" t="n"/>
      <c r="H11" s="53" t="n"/>
      <c r="I11" s="53" t="n"/>
      <c r="J11" s="52" t="n"/>
      <c r="K11" s="53">
        <f>IF(J11="","",TODAY()-J11)</f>
        <v/>
      </c>
      <c r="L11" s="53" t="n"/>
      <c r="M11" s="55" t="n"/>
    </row>
    <row r="12">
      <c r="A12" s="51" t="n"/>
      <c r="B12" s="52" t="n"/>
      <c r="C12" s="51" t="n"/>
      <c r="D12" s="53" t="n"/>
      <c r="E12" s="54" t="n"/>
      <c r="F12" s="53" t="n"/>
      <c r="G12" s="53" t="n"/>
      <c r="H12" s="53" t="n"/>
      <c r="I12" s="53" t="n"/>
      <c r="J12" s="52" t="n"/>
      <c r="K12" s="53">
        <f>IF(J12="","",TODAY()-J12)</f>
        <v/>
      </c>
      <c r="L12" s="53" t="n"/>
      <c r="M12" s="55" t="n"/>
    </row>
    <row r="13">
      <c r="A13" s="51" t="n"/>
      <c r="B13" s="52" t="n"/>
      <c r="C13" s="51" t="n"/>
      <c r="D13" s="53" t="n"/>
      <c r="E13" s="54" t="n"/>
      <c r="F13" s="53" t="n"/>
      <c r="G13" s="53" t="n"/>
      <c r="H13" s="53" t="n"/>
      <c r="I13" s="53" t="n"/>
      <c r="J13" s="52" t="n"/>
      <c r="K13" s="53">
        <f>IF(J13="","",TODAY()-J13)</f>
        <v/>
      </c>
      <c r="L13" s="53" t="n"/>
      <c r="M13" s="55" t="n"/>
    </row>
    <row r="14">
      <c r="A14" s="51" t="n"/>
      <c r="B14" s="52" t="n"/>
      <c r="C14" s="51" t="n"/>
      <c r="D14" s="53" t="n"/>
      <c r="E14" s="54" t="n"/>
      <c r="F14" s="53" t="n"/>
      <c r="G14" s="53" t="n"/>
      <c r="H14" s="53" t="n"/>
      <c r="I14" s="53" t="n"/>
      <c r="J14" s="52" t="n"/>
      <c r="K14" s="53">
        <f>IF(J14="","",TODAY()-J14)</f>
        <v/>
      </c>
      <c r="L14" s="53" t="n"/>
      <c r="M14" s="55" t="n"/>
    </row>
    <row r="15">
      <c r="A15" s="51" t="n"/>
      <c r="B15" s="52" t="n"/>
      <c r="C15" s="51" t="n"/>
      <c r="D15" s="53" t="n"/>
      <c r="E15" s="54" t="n"/>
      <c r="F15" s="53" t="n"/>
      <c r="G15" s="53" t="n"/>
      <c r="H15" s="53" t="n"/>
      <c r="I15" s="53" t="n"/>
      <c r="J15" s="52" t="n"/>
      <c r="K15" s="53">
        <f>IF(J15="","",TODAY()-J15)</f>
        <v/>
      </c>
      <c r="L15" s="53" t="n"/>
      <c r="M15" s="55" t="n"/>
    </row>
    <row r="16">
      <c r="A16" s="51" t="n"/>
      <c r="B16" s="52" t="n"/>
      <c r="C16" s="51" t="n"/>
      <c r="D16" s="53" t="n"/>
      <c r="E16" s="54" t="n"/>
      <c r="F16" s="53" t="n"/>
      <c r="G16" s="53" t="n"/>
      <c r="H16" s="53" t="n"/>
      <c r="I16" s="53" t="n"/>
      <c r="J16" s="52" t="n"/>
      <c r="K16" s="53">
        <f>IF(J16="","",TODAY()-J16)</f>
        <v/>
      </c>
      <c r="L16" s="53" t="n"/>
      <c r="M16" s="55" t="n"/>
    </row>
    <row r="17">
      <c r="A17" s="51" t="n"/>
      <c r="B17" s="52" t="n"/>
      <c r="C17" s="51" t="n"/>
      <c r="D17" s="53" t="n"/>
      <c r="E17" s="54" t="n"/>
      <c r="F17" s="53" t="n"/>
      <c r="G17" s="53" t="n"/>
      <c r="H17" s="53" t="n"/>
      <c r="I17" s="53" t="n"/>
      <c r="J17" s="52" t="n"/>
      <c r="K17" s="53">
        <f>IF(J17="","",TODAY()-J17)</f>
        <v/>
      </c>
      <c r="L17" s="53" t="n"/>
      <c r="M17" s="55" t="n"/>
    </row>
    <row r="18">
      <c r="A18" s="51" t="n"/>
      <c r="B18" s="52" t="n"/>
      <c r="C18" s="51" t="n"/>
      <c r="D18" s="53" t="n"/>
      <c r="E18" s="54" t="n"/>
      <c r="F18" s="53" t="n"/>
      <c r="G18" s="53" t="n"/>
      <c r="H18" s="53" t="n"/>
      <c r="I18" s="53" t="n"/>
      <c r="J18" s="52" t="n"/>
      <c r="K18" s="53">
        <f>IF(J18="","",TODAY()-J18)</f>
        <v/>
      </c>
      <c r="L18" s="53" t="n"/>
      <c r="M18" s="55" t="n"/>
    </row>
    <row r="19">
      <c r="A19" s="51" t="n"/>
      <c r="B19" s="52" t="n"/>
      <c r="C19" s="51" t="n"/>
      <c r="D19" s="53" t="n"/>
      <c r="E19" s="54" t="n"/>
      <c r="F19" s="53" t="n"/>
      <c r="G19" s="53" t="n"/>
      <c r="H19" s="53" t="n"/>
      <c r="I19" s="53" t="n"/>
      <c r="J19" s="52" t="n"/>
      <c r="K19" s="53">
        <f>IF(J19="","",TODAY()-J19)</f>
        <v/>
      </c>
      <c r="L19" s="53" t="n"/>
      <c r="M19" s="55" t="n"/>
    </row>
    <row r="20">
      <c r="A20" s="51" t="n"/>
      <c r="B20" s="52" t="n"/>
      <c r="C20" s="51" t="n"/>
      <c r="D20" s="53" t="n"/>
      <c r="E20" s="54" t="n"/>
      <c r="F20" s="53" t="n"/>
      <c r="G20" s="53" t="n"/>
      <c r="H20" s="53" t="n"/>
      <c r="I20" s="53" t="n"/>
      <c r="J20" s="52" t="n"/>
      <c r="K20" s="53">
        <f>IF(J20="","",TODAY()-J20)</f>
        <v/>
      </c>
      <c r="L20" s="53" t="n"/>
      <c r="M20" s="55" t="n"/>
    </row>
    <row r="21">
      <c r="A21" s="51" t="n"/>
      <c r="B21" s="52" t="n"/>
      <c r="C21" s="51" t="n"/>
      <c r="D21" s="53" t="n"/>
      <c r="E21" s="54" t="n"/>
      <c r="F21" s="53" t="n"/>
      <c r="G21" s="53" t="n"/>
      <c r="H21" s="53" t="n"/>
      <c r="I21" s="53" t="n"/>
      <c r="J21" s="52" t="n"/>
      <c r="K21" s="53">
        <f>IF(J21="","",TODAY()-J21)</f>
        <v/>
      </c>
      <c r="L21" s="53" t="n"/>
      <c r="M21" s="55" t="n"/>
    </row>
    <row r="22">
      <c r="A22" s="51" t="n"/>
      <c r="B22" s="52" t="n"/>
      <c r="C22" s="51" t="n"/>
      <c r="D22" s="53" t="n"/>
      <c r="E22" s="54" t="n"/>
      <c r="F22" s="53" t="n"/>
      <c r="G22" s="53" t="n"/>
      <c r="H22" s="53" t="n"/>
      <c r="I22" s="53" t="n"/>
      <c r="J22" s="52" t="n"/>
      <c r="K22" s="53">
        <f>IF(J22="","",TODAY()-J22)</f>
        <v/>
      </c>
      <c r="L22" s="53" t="n"/>
      <c r="M22" s="55" t="n"/>
    </row>
    <row r="23">
      <c r="A23" s="51" t="n"/>
      <c r="B23" s="52" t="n"/>
      <c r="C23" s="51" t="n"/>
      <c r="D23" s="53" t="n"/>
      <c r="E23" s="54" t="n"/>
      <c r="F23" s="53" t="n"/>
      <c r="G23" s="53" t="n"/>
      <c r="H23" s="53" t="n"/>
      <c r="I23" s="53" t="n"/>
      <c r="J23" s="52" t="n"/>
      <c r="K23" s="53">
        <f>IF(J23="","",TODAY()-J23)</f>
        <v/>
      </c>
      <c r="L23" s="53" t="n"/>
      <c r="M23" s="55" t="n"/>
    </row>
    <row r="24">
      <c r="A24" s="51" t="n"/>
      <c r="B24" s="52" t="n"/>
      <c r="C24" s="51" t="n"/>
      <c r="D24" s="53" t="n"/>
      <c r="E24" s="54" t="n"/>
      <c r="F24" s="53" t="n"/>
      <c r="G24" s="53" t="n"/>
      <c r="H24" s="53" t="n"/>
      <c r="I24" s="53" t="n"/>
      <c r="J24" s="52" t="n"/>
      <c r="K24" s="53">
        <f>IF(J24="","",TODAY()-J24)</f>
        <v/>
      </c>
      <c r="L24" s="53" t="n"/>
      <c r="M24" s="55" t="n"/>
    </row>
    <row r="25">
      <c r="A25" s="51" t="n"/>
      <c r="B25" s="52" t="n"/>
      <c r="C25" s="51" t="n"/>
      <c r="D25" s="53" t="n"/>
      <c r="E25" s="54" t="n"/>
      <c r="F25" s="53" t="n"/>
      <c r="G25" s="53" t="n"/>
      <c r="H25" s="53" t="n"/>
      <c r="I25" s="53" t="n"/>
      <c r="J25" s="52" t="n"/>
      <c r="K25" s="53">
        <f>IF(J25="","",TODAY()-J25)</f>
        <v/>
      </c>
      <c r="L25" s="53" t="n"/>
      <c r="M25" s="55" t="n"/>
    </row>
    <row r="26">
      <c r="A26" s="51" t="n"/>
      <c r="B26" s="52" t="n"/>
      <c r="C26" s="51" t="n"/>
      <c r="D26" s="53" t="n"/>
      <c r="E26" s="54" t="n"/>
      <c r="F26" s="53" t="n"/>
      <c r="G26" s="53" t="n"/>
      <c r="H26" s="53" t="n"/>
      <c r="I26" s="53" t="n"/>
      <c r="J26" s="52" t="n"/>
      <c r="K26" s="53">
        <f>IF(J26="","",TODAY()-J26)</f>
        <v/>
      </c>
      <c r="L26" s="53" t="n"/>
      <c r="M26" s="55" t="n"/>
    </row>
    <row r="27">
      <c r="A27" s="51" t="n"/>
      <c r="B27" s="52" t="n"/>
      <c r="C27" s="51" t="n"/>
      <c r="D27" s="53" t="n"/>
      <c r="E27" s="54" t="n"/>
      <c r="F27" s="53" t="n"/>
      <c r="G27" s="53" t="n"/>
      <c r="H27" s="53" t="n"/>
      <c r="I27" s="53" t="n"/>
      <c r="J27" s="52" t="n"/>
      <c r="K27" s="53">
        <f>IF(J27="","",TODAY()-J27)</f>
        <v/>
      </c>
      <c r="L27" s="53" t="n"/>
      <c r="M27" s="55" t="n"/>
    </row>
    <row r="28">
      <c r="A28" s="51" t="n"/>
      <c r="B28" s="52" t="n"/>
      <c r="C28" s="51" t="n"/>
      <c r="D28" s="53" t="n"/>
      <c r="E28" s="54" t="n"/>
      <c r="F28" s="53" t="n"/>
      <c r="G28" s="53" t="n"/>
      <c r="H28" s="53" t="n"/>
      <c r="I28" s="53" t="n"/>
      <c r="J28" s="52" t="n"/>
      <c r="K28" s="53">
        <f>IF(J28="","",TODAY()-J28)</f>
        <v/>
      </c>
      <c r="L28" s="53" t="n"/>
      <c r="M28" s="55" t="n"/>
    </row>
    <row r="29">
      <c r="A29" s="51" t="n"/>
      <c r="B29" s="52" t="n"/>
      <c r="C29" s="51" t="n"/>
      <c r="D29" s="53" t="n"/>
      <c r="E29" s="54" t="n"/>
      <c r="F29" s="53" t="n"/>
      <c r="G29" s="53" t="n"/>
      <c r="H29" s="53" t="n"/>
      <c r="I29" s="53" t="n"/>
      <c r="J29" s="52" t="n"/>
      <c r="K29" s="53">
        <f>IF(J29="","",TODAY()-J29)</f>
        <v/>
      </c>
      <c r="L29" s="53" t="n"/>
      <c r="M29" s="55" t="n"/>
    </row>
    <row r="30">
      <c r="A30" s="51" t="n"/>
      <c r="B30" s="52" t="n"/>
      <c r="C30" s="51" t="n"/>
      <c r="D30" s="53" t="n"/>
      <c r="E30" s="54" t="n"/>
      <c r="F30" s="53" t="n"/>
      <c r="G30" s="53" t="n"/>
      <c r="H30" s="53" t="n"/>
      <c r="I30" s="53" t="n"/>
      <c r="J30" s="52" t="n"/>
      <c r="K30" s="53">
        <f>IF(J30="","",TODAY()-J30)</f>
        <v/>
      </c>
      <c r="L30" s="53" t="n"/>
      <c r="M30" s="55" t="n"/>
    </row>
    <row r="31">
      <c r="A31" s="51" t="n"/>
      <c r="B31" s="52" t="n"/>
      <c r="C31" s="51" t="n"/>
      <c r="D31" s="53" t="n"/>
      <c r="E31" s="54" t="n"/>
      <c r="F31" s="53" t="n"/>
      <c r="G31" s="53" t="n"/>
      <c r="H31" s="53" t="n"/>
      <c r="I31" s="53" t="n"/>
      <c r="J31" s="52" t="n"/>
      <c r="K31" s="53">
        <f>IF(J31="","",TODAY()-J31)</f>
        <v/>
      </c>
      <c r="L31" s="53" t="n"/>
      <c r="M31" s="55" t="n"/>
    </row>
    <row r="32">
      <c r="A32" s="51" t="n"/>
      <c r="B32" s="52" t="n"/>
      <c r="C32" s="51" t="n"/>
      <c r="D32" s="53" t="n"/>
      <c r="E32" s="54" t="n"/>
      <c r="F32" s="53" t="n"/>
      <c r="G32" s="53" t="n"/>
      <c r="H32" s="53" t="n"/>
      <c r="I32" s="53" t="n"/>
      <c r="J32" s="52" t="n"/>
      <c r="K32" s="53">
        <f>IF(J32="","",TODAY()-J32)</f>
        <v/>
      </c>
      <c r="L32" s="53" t="n"/>
      <c r="M32" s="55" t="n"/>
    </row>
    <row r="33">
      <c r="A33" s="51" t="n"/>
      <c r="B33" s="52" t="n"/>
      <c r="C33" s="51" t="n"/>
      <c r="D33" s="53" t="n"/>
      <c r="E33" s="54" t="n"/>
      <c r="F33" s="53" t="n"/>
      <c r="G33" s="53" t="n"/>
      <c r="H33" s="53" t="n"/>
      <c r="I33" s="53" t="n"/>
      <c r="J33" s="52" t="n"/>
      <c r="K33" s="53">
        <f>IF(J33="","",TODAY()-J33)</f>
        <v/>
      </c>
      <c r="L33" s="53" t="n"/>
      <c r="M33" s="55" t="n"/>
    </row>
    <row r="34">
      <c r="A34" s="51" t="n"/>
      <c r="B34" s="52" t="n"/>
      <c r="C34" s="51" t="n"/>
      <c r="D34" s="53" t="n"/>
      <c r="E34" s="54" t="n"/>
      <c r="F34" s="53" t="n"/>
      <c r="G34" s="53" t="n"/>
      <c r="H34" s="53" t="n"/>
      <c r="I34" s="53" t="n"/>
      <c r="J34" s="52" t="n"/>
      <c r="K34" s="53">
        <f>IF(J34="","",TODAY()-J34)</f>
        <v/>
      </c>
      <c r="L34" s="53" t="n"/>
      <c r="M34" s="55" t="n"/>
    </row>
    <row r="35">
      <c r="A35" s="51" t="n"/>
      <c r="B35" s="52" t="n"/>
      <c r="C35" s="51" t="n"/>
      <c r="D35" s="53" t="n"/>
      <c r="E35" s="54" t="n"/>
      <c r="F35" s="53" t="n"/>
      <c r="G35" s="53" t="n"/>
      <c r="H35" s="53" t="n"/>
      <c r="I35" s="53" t="n"/>
      <c r="J35" s="52" t="n"/>
      <c r="K35" s="53">
        <f>IF(J35="","",TODAY()-J35)</f>
        <v/>
      </c>
      <c r="L35" s="53" t="n"/>
      <c r="M35" s="55" t="n"/>
    </row>
    <row r="36">
      <c r="A36" s="51" t="n"/>
      <c r="B36" s="52" t="n"/>
      <c r="C36" s="51" t="n"/>
      <c r="D36" s="53" t="n"/>
      <c r="E36" s="54" t="n"/>
      <c r="F36" s="53" t="n"/>
      <c r="G36" s="53" t="n"/>
      <c r="H36" s="53" t="n"/>
      <c r="I36" s="53" t="n"/>
      <c r="J36" s="52" t="n"/>
      <c r="K36" s="53">
        <f>IF(J36="","",TODAY()-J36)</f>
        <v/>
      </c>
      <c r="L36" s="53" t="n"/>
      <c r="M36" s="55" t="n"/>
    </row>
    <row r="37">
      <c r="A37" s="51" t="n"/>
      <c r="B37" s="52" t="n"/>
      <c r="C37" s="51" t="n"/>
      <c r="D37" s="53" t="n"/>
      <c r="E37" s="54" t="n"/>
      <c r="F37" s="53" t="n"/>
      <c r="G37" s="53" t="n"/>
      <c r="H37" s="53" t="n"/>
      <c r="I37" s="53" t="n"/>
      <c r="J37" s="52" t="n"/>
      <c r="K37" s="53">
        <f>IF(J37="","",TODAY()-J37)</f>
        <v/>
      </c>
      <c r="L37" s="53" t="n"/>
      <c r="M37" s="55" t="n"/>
    </row>
    <row r="38">
      <c r="A38" s="51" t="n"/>
      <c r="B38" s="52" t="n"/>
      <c r="C38" s="51" t="n"/>
      <c r="D38" s="53" t="n"/>
      <c r="E38" s="54" t="n"/>
      <c r="F38" s="53" t="n"/>
      <c r="G38" s="53" t="n"/>
      <c r="H38" s="53" t="n"/>
      <c r="I38" s="53" t="n"/>
      <c r="J38" s="52" t="n"/>
      <c r="K38" s="53">
        <f>IF(J38="","",TODAY()-J38)</f>
        <v/>
      </c>
      <c r="L38" s="53" t="n"/>
      <c r="M38" s="55" t="n"/>
    </row>
    <row r="39">
      <c r="A39" s="51" t="n"/>
      <c r="B39" s="52" t="n"/>
      <c r="C39" s="51" t="n"/>
      <c r="D39" s="53" t="n"/>
      <c r="E39" s="54" t="n"/>
      <c r="F39" s="53" t="n"/>
      <c r="G39" s="53" t="n"/>
      <c r="H39" s="53" t="n"/>
      <c r="I39" s="53" t="n"/>
      <c r="J39" s="52" t="n"/>
      <c r="K39" s="53">
        <f>IF(J39="","",TODAY()-J39)</f>
        <v/>
      </c>
      <c r="L39" s="53" t="n"/>
      <c r="M39" s="55" t="n"/>
    </row>
    <row r="40">
      <c r="A40" s="51" t="n"/>
      <c r="B40" s="52" t="n"/>
      <c r="C40" s="51" t="n"/>
      <c r="D40" s="53" t="n"/>
      <c r="E40" s="54" t="n"/>
      <c r="F40" s="53" t="n"/>
      <c r="G40" s="53" t="n"/>
      <c r="H40" s="53" t="n"/>
      <c r="I40" s="53" t="n"/>
      <c r="J40" s="52" t="n"/>
      <c r="K40" s="53">
        <f>IF(J40="","",TODAY()-J40)</f>
        <v/>
      </c>
      <c r="L40" s="53" t="n"/>
      <c r="M40" s="55" t="n"/>
    </row>
    <row r="41">
      <c r="A41" s="51" t="n"/>
      <c r="B41" s="52" t="n"/>
      <c r="C41" s="51" t="n"/>
      <c r="D41" s="53" t="n"/>
      <c r="E41" s="54" t="n"/>
      <c r="F41" s="53" t="n"/>
      <c r="G41" s="53" t="n"/>
      <c r="H41" s="53" t="n"/>
      <c r="I41" s="53" t="n"/>
      <c r="J41" s="52" t="n"/>
      <c r="K41" s="53">
        <f>IF(J41="","",TODAY()-J41)</f>
        <v/>
      </c>
      <c r="L41" s="53" t="n"/>
      <c r="M41" s="55" t="n"/>
    </row>
    <row r="42">
      <c r="A42" s="51" t="n"/>
      <c r="B42" s="52" t="n"/>
      <c r="C42" s="51" t="n"/>
      <c r="D42" s="53" t="n"/>
      <c r="E42" s="54" t="n"/>
      <c r="F42" s="53" t="n"/>
      <c r="G42" s="53" t="n"/>
      <c r="H42" s="53" t="n"/>
      <c r="I42" s="53" t="n"/>
      <c r="J42" s="52" t="n"/>
      <c r="K42" s="53">
        <f>IF(J42="","",TODAY()-J42)</f>
        <v/>
      </c>
      <c r="L42" s="53" t="n"/>
      <c r="M42" s="55" t="n"/>
    </row>
    <row r="43">
      <c r="A43" s="51" t="n"/>
      <c r="B43" s="52" t="n"/>
      <c r="C43" s="51" t="n"/>
      <c r="D43" s="53" t="n"/>
      <c r="E43" s="54" t="n"/>
      <c r="F43" s="53" t="n"/>
      <c r="G43" s="53" t="n"/>
      <c r="H43" s="53" t="n"/>
      <c r="I43" s="53" t="n"/>
      <c r="J43" s="52" t="n"/>
      <c r="K43" s="53">
        <f>IF(J43="","",TODAY()-J43)</f>
        <v/>
      </c>
      <c r="L43" s="53" t="n"/>
      <c r="M43" s="55" t="n"/>
    </row>
    <row r="44">
      <c r="A44" s="51" t="n"/>
      <c r="B44" s="52" t="n"/>
      <c r="C44" s="51" t="n"/>
      <c r="D44" s="53" t="n"/>
      <c r="E44" s="54" t="n"/>
      <c r="F44" s="53" t="n"/>
      <c r="G44" s="53" t="n"/>
      <c r="H44" s="53" t="n"/>
      <c r="I44" s="53" t="n"/>
      <c r="J44" s="52" t="n"/>
      <c r="K44" s="53">
        <f>IF(J44="","",TODAY()-J44)</f>
        <v/>
      </c>
      <c r="L44" s="53" t="n"/>
      <c r="M44" s="55" t="n"/>
    </row>
    <row r="45">
      <c r="A45" s="51" t="n"/>
      <c r="B45" s="52" t="n"/>
      <c r="C45" s="51" t="n"/>
      <c r="D45" s="53" t="n"/>
      <c r="E45" s="54" t="n"/>
      <c r="F45" s="53" t="n"/>
      <c r="G45" s="53" t="n"/>
      <c r="H45" s="53" t="n"/>
      <c r="I45" s="53" t="n"/>
      <c r="J45" s="52" t="n"/>
      <c r="K45" s="53">
        <f>IF(J45="","",TODAY()-J45)</f>
        <v/>
      </c>
      <c r="L45" s="53" t="n"/>
      <c r="M45" s="55" t="n"/>
    </row>
    <row r="46">
      <c r="A46" s="51" t="n"/>
      <c r="B46" s="52" t="n"/>
      <c r="C46" s="51" t="n"/>
      <c r="D46" s="53" t="n"/>
      <c r="E46" s="54" t="n"/>
      <c r="F46" s="53" t="n"/>
      <c r="G46" s="53" t="n"/>
      <c r="H46" s="53" t="n"/>
      <c r="I46" s="53" t="n"/>
      <c r="J46" s="52" t="n"/>
      <c r="K46" s="53">
        <f>IF(J46="","",TODAY()-J46)</f>
        <v/>
      </c>
      <c r="L46" s="53" t="n"/>
      <c r="M46" s="55" t="n"/>
    </row>
    <row r="47">
      <c r="A47" s="51" t="n"/>
      <c r="B47" s="52" t="n"/>
      <c r="C47" s="51" t="n"/>
      <c r="D47" s="53" t="n"/>
      <c r="E47" s="54" t="n"/>
      <c r="F47" s="53" t="n"/>
      <c r="G47" s="53" t="n"/>
      <c r="H47" s="53" t="n"/>
      <c r="I47" s="53" t="n"/>
      <c r="J47" s="52" t="n"/>
      <c r="K47" s="53">
        <f>IF(J47="","",TODAY()-J47)</f>
        <v/>
      </c>
      <c r="L47" s="53" t="n"/>
      <c r="M47" s="55" t="n"/>
    </row>
    <row r="48">
      <c r="A48" s="51" t="n"/>
      <c r="B48" s="52" t="n"/>
      <c r="C48" s="51" t="n"/>
      <c r="D48" s="53" t="n"/>
      <c r="E48" s="54" t="n"/>
      <c r="F48" s="53" t="n"/>
      <c r="G48" s="53" t="n"/>
      <c r="H48" s="53" t="n"/>
      <c r="I48" s="53" t="n"/>
      <c r="J48" s="52" t="n"/>
      <c r="K48" s="53">
        <f>IF(J48="","",TODAY()-J48)</f>
        <v/>
      </c>
      <c r="L48" s="53" t="n"/>
      <c r="M48" s="55" t="n"/>
    </row>
    <row r="49">
      <c r="A49" s="51" t="n"/>
      <c r="B49" s="52" t="n"/>
      <c r="C49" s="51" t="n"/>
      <c r="D49" s="53" t="n"/>
      <c r="E49" s="54" t="n"/>
      <c r="F49" s="53" t="n"/>
      <c r="G49" s="53" t="n"/>
      <c r="H49" s="53" t="n"/>
      <c r="I49" s="53" t="n"/>
      <c r="J49" s="52" t="n"/>
      <c r="K49" s="53">
        <f>IF(J49="","",TODAY()-J49)</f>
        <v/>
      </c>
      <c r="L49" s="53" t="n"/>
      <c r="M49" s="55" t="n"/>
    </row>
    <row r="50">
      <c r="A50" s="51" t="n"/>
      <c r="B50" s="52" t="n"/>
      <c r="C50" s="51" t="n"/>
      <c r="D50" s="53" t="n"/>
      <c r="E50" s="54" t="n"/>
      <c r="F50" s="53" t="n"/>
      <c r="G50" s="53" t="n"/>
      <c r="H50" s="53" t="n"/>
      <c r="I50" s="53" t="n"/>
      <c r="J50" s="52" t="n"/>
      <c r="K50" s="53">
        <f>IF(J50="","",TODAY()-J50)</f>
        <v/>
      </c>
      <c r="L50" s="53" t="n"/>
      <c r="M50" s="55" t="n"/>
    </row>
    <row r="51">
      <c r="A51" s="51" t="n"/>
      <c r="B51" s="52" t="n"/>
      <c r="C51" s="51" t="n"/>
      <c r="D51" s="53" t="n"/>
      <c r="E51" s="54" t="n"/>
      <c r="F51" s="53" t="n"/>
      <c r="G51" s="53" t="n"/>
      <c r="H51" s="53" t="n"/>
      <c r="I51" s="53" t="n"/>
      <c r="J51" s="52" t="n"/>
      <c r="K51" s="53">
        <f>IF(J51="","",TODAY()-J51)</f>
        <v/>
      </c>
      <c r="L51" s="53" t="n"/>
      <c r="M51" s="55" t="n"/>
    </row>
    <row r="52">
      <c r="A52" s="51" t="n"/>
      <c r="B52" s="52" t="n"/>
      <c r="C52" s="51" t="n"/>
      <c r="D52" s="53" t="n"/>
      <c r="E52" s="54" t="n"/>
      <c r="F52" s="53" t="n"/>
      <c r="G52" s="53" t="n"/>
      <c r="H52" s="53" t="n"/>
      <c r="I52" s="53" t="n"/>
      <c r="J52" s="52" t="n"/>
      <c r="K52" s="53">
        <f>IF(J52="","",TODAY()-J52)</f>
        <v/>
      </c>
      <c r="L52" s="53" t="n"/>
      <c r="M52" s="55" t="n"/>
    </row>
    <row r="53">
      <c r="A53" s="51" t="n"/>
      <c r="B53" s="52" t="n"/>
      <c r="C53" s="51" t="n"/>
      <c r="D53" s="53" t="n"/>
      <c r="E53" s="54" t="n"/>
      <c r="F53" s="53" t="n"/>
      <c r="G53" s="53" t="n"/>
      <c r="H53" s="53" t="n"/>
      <c r="I53" s="53" t="n"/>
      <c r="J53" s="52" t="n"/>
      <c r="K53" s="53">
        <f>IF(J53="","",TODAY()-J53)</f>
        <v/>
      </c>
      <c r="L53" s="53" t="n"/>
      <c r="M53" s="55" t="n"/>
    </row>
    <row r="55">
      <c r="A55" s="38" t="inlineStr">
        <is>
          <t>SUMMARY</t>
        </is>
      </c>
    </row>
    <row r="56">
      <c r="A56" t="inlineStr">
        <is>
          <t>Open Quotes:</t>
        </is>
      </c>
      <c r="B56" s="56">
        <f>COUNTIF(L4:L53,"OPEN")</f>
        <v/>
      </c>
      <c r="C56" t="inlineStr">
        <is>
          <t>Need Follow-up:</t>
        </is>
      </c>
      <c r="D56" s="57">
        <f>SUMPRODUCT((L4:L53="OPEN")*(K4:K53&gt;=7))</f>
        <v/>
      </c>
      <c r="E56" t="inlineStr">
        <is>
          <t>Closed This Month:</t>
        </is>
      </c>
      <c r="F56">
        <f>SUMPRODUCT((L4:L53="CLOSED")*(MONTH(B4:B53)=MONTH(TODAY())))</f>
        <v/>
      </c>
    </row>
  </sheetData>
  <autoFilter ref="A3:M53"/>
  <mergeCells count="2">
    <mergeCell ref="A2:M2"/>
    <mergeCell ref="A1:M1"/>
  </mergeCells>
  <conditionalFormatting sqref="A4:M53">
    <cfRule type="expression" priority="1" dxfId="0">
      <formula>AND($L4="OPEN",$K4&gt;=7)</formula>
    </cfRule>
    <cfRule type="expression" priority="2" dxfId="1">
      <formula>AND($L4="OPEN",$K4&gt;=3,$K4&lt;7)</formula>
    </cfRule>
    <cfRule type="expression" priority="3" dxfId="2">
      <formula>$L4="CLOSED"</formula>
    </cfRule>
  </conditionalFormatting>
  <dataValidations count="2">
    <dataValidation sqref="F4 F5 F6 F7 F8 F9 F10 F11 F12 F13 F14 F15 F16 F17 F18 F19 F20 F21 F22 F23 F24 F25 F26 F27 F28 F29 F30 F31 F32 F33 F34 F35 F36 F37 F38 F39 F40 F41 F42 F43 F44 F45 F46 F47 F48 F49 F50 F51 F52 F53 G4 G5 G6 G7 G8 G9 G10 G11 G12 G13 G14 G15 G16 G17 G18 G19 G20 G21 G22 G23 G24 G25 G26 G27 G28 G29 G30 G31 G32 G33 G34 G35 G36 G37 G38 G39 G40 G41 G42 G43 G44 G45 G46 G47 G48 G49 G50 G51 G52 G53 H4 H5 H6 H7 H8 H9 H10 H11 H12 H13 H14 H15 H16 H17 H18 H19 H20 H21 H22 H23 H24 H25 H26 H27 H28 H29 H30 H31 H32 H33 H34 H35 H36 H37 H38 H39 H40 H41 H42 H43 H44 H45 H46 H47 H48 H49 H50 H51 H52 H53" showDropDown="0" showInputMessage="0" showErrorMessage="0" allowBlank="1" type="list">
      <formula1>"Yes,No,DONE"</formula1>
    </dataValidation>
    <dataValidation sqref="L4 L5 L6 L7 L8 L9 L10 L11 L12 L13 L14 L15 L16 L17 L18 L19 L20 L21 L22 L23 L24 L25 L26 L27 L28 L29 L30 L31 L32 L33 L34 L35 L36 L37 L38 L39 L40 L41 L42 L43 L44 L45 L46 L47 L48 L49 L50 L51 L52 L53" showDropDown="0" showInputMessage="0" showErrorMessage="0" allowBlank="1" type="list">
      <formula1>"OPEN,CLOSED,ON HOLD"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8" customWidth="1" min="1" max="1"/>
    <col width="35" customWidth="1" min="2" max="2"/>
    <col width="8" customWidth="1" min="3" max="3"/>
    <col width="12" customWidth="1" min="4" max="4"/>
    <col width="12" customWidth="1" min="5" max="5"/>
    <col width="8" customWidth="1" min="6" max="6"/>
    <col width="12" customWidth="1" min="7" max="7"/>
    <col width="30" customWidth="1" min="8" max="8"/>
  </cols>
  <sheetData>
    <row r="1">
      <c r="A1" s="19" t="inlineStr">
        <is>
          <t>Part Number</t>
        </is>
      </c>
      <c r="B1" s="19" t="inlineStr">
        <is>
          <t>Description</t>
        </is>
      </c>
      <c r="C1" s="19" t="inlineStr">
        <is>
          <t>Cond</t>
        </is>
      </c>
      <c r="D1" s="19" t="inlineStr">
        <is>
          <t>List Price</t>
        </is>
      </c>
      <c r="E1" s="19" t="inlineStr">
        <is>
          <t>Core Charge</t>
        </is>
      </c>
      <c r="F1" s="19" t="inlineStr">
        <is>
          <t>Stock</t>
        </is>
      </c>
      <c r="G1" s="19" t="inlineStr">
        <is>
          <t>Lead Time</t>
        </is>
      </c>
      <c r="H1" s="19" t="inlineStr">
        <is>
          <t>Notes</t>
        </is>
      </c>
    </row>
    <row r="2">
      <c r="A2" s="20" t="inlineStr">
        <is>
          <t>10-382320</t>
        </is>
      </c>
      <c r="B2" s="20" t="inlineStr">
        <is>
          <t>S-20/200 Magneto</t>
        </is>
      </c>
      <c r="C2" s="20" t="inlineStr">
        <is>
          <t>Base</t>
        </is>
      </c>
      <c r="D2" s="58" t="n">
        <v>0</v>
      </c>
      <c r="E2" s="58" t="n">
        <v>0</v>
      </c>
      <c r="F2" s="20" t="n">
        <v>0</v>
      </c>
      <c r="G2" s="20" t="inlineStr"/>
      <c r="H2" s="20" t="inlineStr">
        <is>
          <t>Base part</t>
        </is>
      </c>
    </row>
    <row r="3">
      <c r="A3" s="20" t="inlineStr">
        <is>
          <t>10-3823205H</t>
        </is>
      </c>
      <c r="B3" s="20" t="inlineStr">
        <is>
          <t>S-20/200 Magneto - 500HR Inspection</t>
        </is>
      </c>
      <c r="C3" s="20" t="inlineStr">
        <is>
          <t>Svc</t>
        </is>
      </c>
      <c r="D3" s="58" t="n">
        <v>575</v>
      </c>
      <c r="E3" s="58" t="n">
        <v>0</v>
      </c>
      <c r="F3" s="20" t="n">
        <v>0</v>
      </c>
      <c r="G3" s="20" t="inlineStr">
        <is>
          <t>3-5 Days</t>
        </is>
      </c>
      <c r="H3" s="20" t="inlineStr">
        <is>
          <t>500HR price</t>
        </is>
      </c>
    </row>
    <row r="4">
      <c r="A4" s="20" t="inlineStr">
        <is>
          <t>10-382320-CO</t>
        </is>
      </c>
      <c r="B4" s="20" t="inlineStr">
        <is>
          <t>S-20/200 Magneto - Cust Overhaul</t>
        </is>
      </c>
      <c r="C4" s="20" t="inlineStr">
        <is>
          <t>CO</t>
        </is>
      </c>
      <c r="D4" s="58" t="n">
        <v>895</v>
      </c>
      <c r="E4" s="58" t="n">
        <v>0</v>
      </c>
      <c r="F4" s="20" t="n">
        <v>0</v>
      </c>
      <c r="G4" s="20" t="inlineStr">
        <is>
          <t>7-10 Days</t>
        </is>
      </c>
      <c r="H4" s="20" t="inlineStr">
        <is>
          <t>Cust prop</t>
        </is>
      </c>
    </row>
    <row r="5">
      <c r="A5" s="20" t="inlineStr">
        <is>
          <t>10-382320-OH</t>
        </is>
      </c>
      <c r="B5" s="20" t="inlineStr">
        <is>
          <t>S-20/200 Magneto - OH Exchange</t>
        </is>
      </c>
      <c r="C5" s="20" t="inlineStr">
        <is>
          <t>OH</t>
        </is>
      </c>
      <c r="D5" s="58" t="n">
        <v>2495</v>
      </c>
      <c r="E5" s="58" t="n">
        <v>1000</v>
      </c>
      <c r="F5" s="20" t="n">
        <v>5</v>
      </c>
      <c r="G5" s="20" t="inlineStr">
        <is>
          <t>5-7 Days</t>
        </is>
      </c>
      <c r="H5" s="20" t="inlineStr">
        <is>
          <t>Exchange</t>
        </is>
      </c>
    </row>
    <row r="6">
      <c r="A6" s="20" t="inlineStr">
        <is>
          <t>10-320680</t>
        </is>
      </c>
      <c r="B6" s="20" t="inlineStr">
        <is>
          <t>S-1200 Magneto</t>
        </is>
      </c>
      <c r="C6" s="20" t="inlineStr">
        <is>
          <t>Base</t>
        </is>
      </c>
      <c r="D6" s="58" t="n">
        <v>0</v>
      </c>
      <c r="E6" s="58" t="n">
        <v>0</v>
      </c>
      <c r="F6" s="20" t="n">
        <v>0</v>
      </c>
      <c r="G6" s="20" t="inlineStr"/>
      <c r="H6" s="20" t="inlineStr">
        <is>
          <t>Base part</t>
        </is>
      </c>
    </row>
    <row r="7">
      <c r="A7" s="20" t="inlineStr">
        <is>
          <t>10-3206805H</t>
        </is>
      </c>
      <c r="B7" s="20" t="inlineStr">
        <is>
          <t>S-1200 Magneto - 500HR Inspection</t>
        </is>
      </c>
      <c r="C7" s="20" t="inlineStr">
        <is>
          <t>Svc</t>
        </is>
      </c>
      <c r="D7" s="58" t="n">
        <v>495</v>
      </c>
      <c r="E7" s="58" t="n">
        <v>0</v>
      </c>
      <c r="F7" s="20" t="n">
        <v>0</v>
      </c>
      <c r="G7" s="20" t="inlineStr">
        <is>
          <t>3-5 Days</t>
        </is>
      </c>
      <c r="H7" s="20" t="inlineStr">
        <is>
          <t>500HR price</t>
        </is>
      </c>
    </row>
    <row r="8">
      <c r="A8" s="20" t="inlineStr">
        <is>
          <t>10-320680-CO</t>
        </is>
      </c>
      <c r="B8" s="20" t="inlineStr">
        <is>
          <t>S-1200 Magneto - Cust Overhaul</t>
        </is>
      </c>
      <c r="C8" s="20" t="inlineStr">
        <is>
          <t>CO</t>
        </is>
      </c>
      <c r="D8" s="58" t="n">
        <v>750</v>
      </c>
      <c r="E8" s="58" t="n">
        <v>0</v>
      </c>
      <c r="F8" s="20" t="n">
        <v>0</v>
      </c>
      <c r="G8" s="20" t="inlineStr">
        <is>
          <t>7-10 Days</t>
        </is>
      </c>
      <c r="H8" s="20" t="inlineStr">
        <is>
          <t>Cust prop</t>
        </is>
      </c>
    </row>
    <row r="9">
      <c r="A9" s="20" t="inlineStr">
        <is>
          <t>10-320680-OH</t>
        </is>
      </c>
      <c r="B9" s="20" t="inlineStr">
        <is>
          <t>S-1200 Magneto - OH Exchange</t>
        </is>
      </c>
      <c r="C9" s="20" t="inlineStr">
        <is>
          <t>OH</t>
        </is>
      </c>
      <c r="D9" s="58" t="n">
        <v>2095</v>
      </c>
      <c r="E9" s="58" t="n">
        <v>800</v>
      </c>
      <c r="F9" s="20" t="n">
        <v>3</v>
      </c>
      <c r="G9" s="20" t="inlineStr">
        <is>
          <t>5-7 Days</t>
        </is>
      </c>
      <c r="H9" s="20" t="inlineStr">
        <is>
          <t>Exchange</t>
        </is>
      </c>
    </row>
    <row r="10">
      <c r="A10" s="20" t="inlineStr">
        <is>
          <t>10-391088</t>
        </is>
      </c>
      <c r="B10" s="20" t="inlineStr">
        <is>
          <t>D-2000/D-3000 Magneto</t>
        </is>
      </c>
      <c r="C10" s="20" t="inlineStr">
        <is>
          <t>Base</t>
        </is>
      </c>
      <c r="D10" s="58" t="n">
        <v>0</v>
      </c>
      <c r="E10" s="58" t="n">
        <v>0</v>
      </c>
      <c r="F10" s="20" t="n">
        <v>0</v>
      </c>
      <c r="G10" s="20" t="inlineStr"/>
      <c r="H10" s="20" t="inlineStr">
        <is>
          <t>Base part</t>
        </is>
      </c>
    </row>
    <row r="11">
      <c r="A11" s="20" t="inlineStr">
        <is>
          <t>10-3910885H</t>
        </is>
      </c>
      <c r="B11" s="20" t="inlineStr">
        <is>
          <t>D-2000/D-3000 - 500HR Inspection</t>
        </is>
      </c>
      <c r="C11" s="20" t="inlineStr">
        <is>
          <t>Svc</t>
        </is>
      </c>
      <c r="D11" s="58" t="n">
        <v>695</v>
      </c>
      <c r="E11" s="58" t="n">
        <v>0</v>
      </c>
      <c r="F11" s="20" t="n">
        <v>0</v>
      </c>
      <c r="G11" s="20" t="inlineStr">
        <is>
          <t>3-5 Days</t>
        </is>
      </c>
      <c r="H11" s="20" t="inlineStr">
        <is>
          <t>500HR price</t>
        </is>
      </c>
    </row>
    <row r="12">
      <c r="A12" s="20" t="inlineStr">
        <is>
          <t>10-391088-CO</t>
        </is>
      </c>
      <c r="B12" s="20" t="inlineStr">
        <is>
          <t>D-2000/D-3000 - Cust Overhaul</t>
        </is>
      </c>
      <c r="C12" s="20" t="inlineStr">
        <is>
          <t>CO</t>
        </is>
      </c>
      <c r="D12" s="58" t="n">
        <v>1150</v>
      </c>
      <c r="E12" s="58" t="n">
        <v>0</v>
      </c>
      <c r="F12" s="20" t="n">
        <v>0</v>
      </c>
      <c r="G12" s="20" t="inlineStr">
        <is>
          <t>7-10 Days</t>
        </is>
      </c>
      <c r="H12" s="20" t="inlineStr">
        <is>
          <t>Cust prop</t>
        </is>
      </c>
    </row>
    <row r="13">
      <c r="A13" s="20" t="inlineStr">
        <is>
          <t>10-391088-OH</t>
        </is>
      </c>
      <c r="B13" s="20" t="inlineStr">
        <is>
          <t>D-2000/D-3000 - OH Exchange</t>
        </is>
      </c>
      <c r="C13" s="20" t="inlineStr">
        <is>
          <t>OH</t>
        </is>
      </c>
      <c r="D13" s="58" t="n">
        <v>2850</v>
      </c>
      <c r="E13" s="58" t="n">
        <v>1100</v>
      </c>
      <c r="F13" s="20" t="n">
        <v>2</v>
      </c>
      <c r="G13" s="20" t="inlineStr">
        <is>
          <t>5-7 Days</t>
        </is>
      </c>
      <c r="H13" s="20" t="inlineStr">
        <is>
          <t>Exchange</t>
        </is>
      </c>
    </row>
    <row r="14">
      <c r="A14" s="20" t="inlineStr">
        <is>
          <t>10-163020</t>
        </is>
      </c>
      <c r="B14" s="20" t="inlineStr">
        <is>
          <t>Bendix S-20 Magneto</t>
        </is>
      </c>
      <c r="C14" s="20" t="inlineStr">
        <is>
          <t>Base</t>
        </is>
      </c>
      <c r="D14" s="58" t="n">
        <v>0</v>
      </c>
      <c r="E14" s="58" t="n">
        <v>0</v>
      </c>
      <c r="F14" s="20" t="n">
        <v>0</v>
      </c>
      <c r="G14" s="20" t="inlineStr"/>
      <c r="H14" s="20" t="inlineStr">
        <is>
          <t>Base part</t>
        </is>
      </c>
    </row>
    <row r="15">
      <c r="A15" s="20" t="inlineStr">
        <is>
          <t>10-1630205H</t>
        </is>
      </c>
      <c r="B15" s="20" t="inlineStr">
        <is>
          <t>Bendix S-20 - 500HR Inspection</t>
        </is>
      </c>
      <c r="C15" s="20" t="inlineStr">
        <is>
          <t>Svc</t>
        </is>
      </c>
      <c r="D15" s="58" t="n">
        <v>625</v>
      </c>
      <c r="E15" s="58" t="n">
        <v>0</v>
      </c>
      <c r="F15" s="20" t="n">
        <v>0</v>
      </c>
      <c r="G15" s="20" t="inlineStr">
        <is>
          <t>3-5 Days</t>
        </is>
      </c>
      <c r="H15" s="20" t="inlineStr">
        <is>
          <t>500HR price</t>
        </is>
      </c>
    </row>
    <row r="16">
      <c r="A16" s="20" t="inlineStr">
        <is>
          <t>10-163020-CO</t>
        </is>
      </c>
      <c r="B16" s="20" t="inlineStr">
        <is>
          <t>Bendix S-20 - Cust Overhaul</t>
        </is>
      </c>
      <c r="C16" s="20" t="inlineStr">
        <is>
          <t>CO</t>
        </is>
      </c>
      <c r="D16" s="58" t="n">
        <v>950</v>
      </c>
      <c r="E16" s="58" t="n">
        <v>0</v>
      </c>
      <c r="F16" s="20" t="n">
        <v>0</v>
      </c>
      <c r="G16" s="20" t="inlineStr">
        <is>
          <t>7-10 Days</t>
        </is>
      </c>
      <c r="H16" s="20" t="inlineStr">
        <is>
          <t>Cust prop</t>
        </is>
      </c>
    </row>
    <row r="17">
      <c r="A17" s="20" t="inlineStr">
        <is>
          <t>10-163020-OH</t>
        </is>
      </c>
      <c r="B17" s="20" t="inlineStr">
        <is>
          <t>Bendix S-20 - OH Exchange</t>
        </is>
      </c>
      <c r="C17" s="20" t="inlineStr">
        <is>
          <t>OH</t>
        </is>
      </c>
      <c r="D17" s="58" t="n">
        <v>2650</v>
      </c>
      <c r="E17" s="58" t="n">
        <v>950</v>
      </c>
      <c r="F17" s="20" t="n">
        <v>4</v>
      </c>
      <c r="G17" s="20" t="inlineStr">
        <is>
          <t>5-7 Days</t>
        </is>
      </c>
      <c r="H17" s="20" t="inlineStr">
        <is>
          <t>Exchange</t>
        </is>
      </c>
    </row>
    <row r="18">
      <c r="A18" s="20" t="inlineStr">
        <is>
          <t>LW-15473</t>
        </is>
      </c>
      <c r="B18" s="20" t="inlineStr">
        <is>
          <t>Impulse Coupling Assembly</t>
        </is>
      </c>
      <c r="C18" s="20" t="inlineStr">
        <is>
          <t>New</t>
        </is>
      </c>
      <c r="D18" s="58" t="n">
        <v>425</v>
      </c>
      <c r="E18" s="58" t="n">
        <v>0</v>
      </c>
      <c r="F18" s="20" t="n">
        <v>12</v>
      </c>
      <c r="G18" s="20" t="inlineStr">
        <is>
          <t>In Stock</t>
        </is>
      </c>
      <c r="H18" s="20" t="inlineStr"/>
    </row>
    <row r="19">
      <c r="A19" s="20" t="inlineStr">
        <is>
          <t>10-357170</t>
        </is>
      </c>
      <c r="B19" s="20" t="inlineStr">
        <is>
          <t>Coil Assembly</t>
        </is>
      </c>
      <c r="C19" s="20" t="inlineStr">
        <is>
          <t>New</t>
        </is>
      </c>
      <c r="D19" s="58" t="n">
        <v>185</v>
      </c>
      <c r="E19" s="58" t="n">
        <v>0</v>
      </c>
      <c r="F19" s="20" t="n">
        <v>20</v>
      </c>
      <c r="G19" s="20" t="inlineStr">
        <is>
          <t>In Stock</t>
        </is>
      </c>
      <c r="H19" s="20" t="inlineStr"/>
    </row>
    <row r="20">
      <c r="A20" s="20" t="inlineStr">
        <is>
          <t>10-357210</t>
        </is>
      </c>
      <c r="B20" s="20" t="inlineStr">
        <is>
          <t>Capacitor</t>
        </is>
      </c>
      <c r="C20" s="20" t="inlineStr">
        <is>
          <t>New</t>
        </is>
      </c>
      <c r="D20" s="58" t="n">
        <v>45</v>
      </c>
      <c r="E20" s="58" t="n">
        <v>0</v>
      </c>
      <c r="F20" s="20" t="n">
        <v>50</v>
      </c>
      <c r="G20" s="20" t="inlineStr">
        <is>
          <t>In Stock</t>
        </is>
      </c>
      <c r="H20" s="20" t="inlineStr"/>
    </row>
    <row r="21">
      <c r="A21" s="20" t="inlineStr">
        <is>
          <t>10-51360</t>
        </is>
      </c>
      <c r="B21" s="20" t="inlineStr">
        <is>
          <t>Distributor Block</t>
        </is>
      </c>
      <c r="C21" s="20" t="inlineStr">
        <is>
          <t>New</t>
        </is>
      </c>
      <c r="D21" s="58" t="n">
        <v>125</v>
      </c>
      <c r="E21" s="58" t="n">
        <v>0</v>
      </c>
      <c r="F21" s="20" t="n">
        <v>15</v>
      </c>
      <c r="G21" s="20" t="inlineStr">
        <is>
          <t>In Stock</t>
        </is>
      </c>
      <c r="H21" s="20" t="inlineStr"/>
    </row>
    <row r="22">
      <c r="A22" s="20" t="inlineStr">
        <is>
          <t>10-51350</t>
        </is>
      </c>
      <c r="B22" s="20" t="inlineStr">
        <is>
          <t>Points Assembly</t>
        </is>
      </c>
      <c r="C22" s="20" t="inlineStr">
        <is>
          <t>New</t>
        </is>
      </c>
      <c r="D22" s="58" t="n">
        <v>85</v>
      </c>
      <c r="E22" s="58" t="n">
        <v>0</v>
      </c>
      <c r="F22" s="20" t="n">
        <v>30</v>
      </c>
      <c r="G22" s="20" t="inlineStr">
        <is>
          <t>In Stock</t>
        </is>
      </c>
      <c r="H22" s="20" t="inlineStr"/>
    </row>
    <row r="23">
      <c r="A23" s="20" t="inlineStr">
        <is>
          <t>10-51340</t>
        </is>
      </c>
      <c r="B23" s="20" t="inlineStr">
        <is>
          <t>Bearing Set</t>
        </is>
      </c>
      <c r="C23" s="20" t="inlineStr">
        <is>
          <t>New</t>
        </is>
      </c>
      <c r="D23" s="58" t="n">
        <v>95</v>
      </c>
      <c r="E23" s="58" t="n">
        <v>0</v>
      </c>
      <c r="F23" s="20" t="n">
        <v>25</v>
      </c>
      <c r="G23" s="20" t="inlineStr">
        <is>
          <t>In Stock</t>
        </is>
      </c>
      <c r="H23" s="20" t="inlineStr"/>
    </row>
    <row r="24">
      <c r="A24" s="20" t="inlineStr">
        <is>
          <t>10-51330</t>
        </is>
      </c>
      <c r="B24" s="20" t="inlineStr">
        <is>
          <t>Gear Assembly</t>
        </is>
      </c>
      <c r="C24" s="20" t="inlineStr">
        <is>
          <t>New</t>
        </is>
      </c>
      <c r="D24" s="58" t="n">
        <v>165</v>
      </c>
      <c r="E24" s="58" t="n">
        <v>0</v>
      </c>
      <c r="F24" s="20" t="n">
        <v>8</v>
      </c>
      <c r="G24" s="20" t="inlineStr">
        <is>
          <t>In Stock</t>
        </is>
      </c>
      <c r="H24" s="20" t="inlineStr"/>
    </row>
    <row r="25">
      <c r="A25" s="20" t="inlineStr">
        <is>
          <t>646942-CO</t>
        </is>
      </c>
      <c r="B25" s="20" t="inlineStr">
        <is>
          <t>Governor - Cust Overhaul</t>
        </is>
      </c>
      <c r="C25" s="20" t="inlineStr">
        <is>
          <t>CO</t>
        </is>
      </c>
      <c r="D25" s="58" t="n">
        <v>1500</v>
      </c>
      <c r="E25" s="58" t="n">
        <v>0</v>
      </c>
      <c r="F25" s="20" t="n">
        <v>0</v>
      </c>
      <c r="G25" s="20" t="inlineStr">
        <is>
          <t>14-21 Days</t>
        </is>
      </c>
      <c r="H25" s="20" t="inlineStr">
        <is>
          <t>Vendor</t>
        </is>
      </c>
    </row>
    <row r="26">
      <c r="A26" s="20" t="inlineStr">
        <is>
          <t>646942-OH</t>
        </is>
      </c>
      <c r="B26" s="20" t="inlineStr">
        <is>
          <t>Governor - OH Exchange</t>
        </is>
      </c>
      <c r="C26" s="20" t="inlineStr">
        <is>
          <t>OH</t>
        </is>
      </c>
      <c r="D26" s="58" t="n">
        <v>3450</v>
      </c>
      <c r="E26" s="58" t="n">
        <v>1500</v>
      </c>
      <c r="F26" s="20" t="n">
        <v>2</v>
      </c>
      <c r="G26" s="20" t="inlineStr">
        <is>
          <t>5-7 Days</t>
        </is>
      </c>
      <c r="H26" s="20" t="inlineStr"/>
    </row>
    <row r="27">
      <c r="A27" s="20" t="inlineStr">
        <is>
          <t>478615-CO</t>
        </is>
      </c>
      <c r="B27" s="20" t="inlineStr">
        <is>
          <t>Turbocharger - Cust Overhaul</t>
        </is>
      </c>
      <c r="C27" s="20" t="inlineStr">
        <is>
          <t>CO</t>
        </is>
      </c>
      <c r="D27" s="58" t="n">
        <v>2800</v>
      </c>
      <c r="E27" s="58" t="n">
        <v>0</v>
      </c>
      <c r="F27" s="20" t="n">
        <v>0</v>
      </c>
      <c r="G27" s="20" t="inlineStr">
        <is>
          <t>21-30 Days</t>
        </is>
      </c>
      <c r="H27" s="20" t="inlineStr">
        <is>
          <t>Vendor</t>
        </is>
      </c>
    </row>
    <row r="28">
      <c r="A28" s="20" t="inlineStr">
        <is>
          <t>478615-OH</t>
        </is>
      </c>
      <c r="B28" s="20" t="inlineStr">
        <is>
          <t>Turbocharger - OH Exchange</t>
        </is>
      </c>
      <c r="C28" s="20" t="inlineStr">
        <is>
          <t>OH</t>
        </is>
      </c>
      <c r="D28" s="58" t="n">
        <v>5800</v>
      </c>
      <c r="E28" s="58" t="n">
        <v>2500</v>
      </c>
      <c r="F28" s="20" t="n">
        <v>1</v>
      </c>
      <c r="G28" s="20" t="inlineStr">
        <is>
          <t>5-7 Days</t>
        </is>
      </c>
      <c r="H28" s="2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9" t="inlineStr">
        <is>
          <t>Parent P/N</t>
        </is>
      </c>
      <c r="B1" s="19" t="inlineStr">
        <is>
          <t>Parent Description</t>
        </is>
      </c>
      <c r="C1" s="19" t="inlineStr">
        <is>
          <t>Component P/N</t>
        </is>
      </c>
      <c r="D1" s="19" t="inlineStr">
        <is>
          <t>Component Desc</t>
        </is>
      </c>
      <c r="E1" s="19" t="inlineStr">
        <is>
          <t>Qty</t>
        </is>
      </c>
    </row>
    <row r="2">
      <c r="A2" t="inlineStr">
        <is>
          <t>10-382320</t>
        </is>
      </c>
      <c r="B2" t="inlineStr">
        <is>
          <t>S-20/200 Magneto</t>
        </is>
      </c>
      <c r="C2" t="inlineStr">
        <is>
          <t>10-357170</t>
        </is>
      </c>
      <c r="D2" t="inlineStr">
        <is>
          <t>Coil Assembly</t>
        </is>
      </c>
      <c r="E2" t="n">
        <v>1</v>
      </c>
    </row>
    <row r="3">
      <c r="A3" t="inlineStr">
        <is>
          <t>10-382320</t>
        </is>
      </c>
      <c r="B3" t="inlineStr">
        <is>
          <t>S-20/200 Magneto</t>
        </is>
      </c>
      <c r="C3" t="inlineStr">
        <is>
          <t>10-357210</t>
        </is>
      </c>
      <c r="D3" t="inlineStr">
        <is>
          <t>Capacitor</t>
        </is>
      </c>
      <c r="E3" t="n">
        <v>1</v>
      </c>
    </row>
    <row r="4">
      <c r="A4" t="inlineStr">
        <is>
          <t>10-382320</t>
        </is>
      </c>
      <c r="B4" t="inlineStr">
        <is>
          <t>S-20/200 Magneto</t>
        </is>
      </c>
      <c r="C4" t="inlineStr">
        <is>
          <t>10-51360</t>
        </is>
      </c>
      <c r="D4" t="inlineStr">
        <is>
          <t>Distributor Block</t>
        </is>
      </c>
      <c r="E4" t="n">
        <v>1</v>
      </c>
    </row>
    <row r="5">
      <c r="A5" t="inlineStr">
        <is>
          <t>10-382320</t>
        </is>
      </c>
      <c r="B5" t="inlineStr">
        <is>
          <t>S-20/200 Magneto</t>
        </is>
      </c>
      <c r="C5" t="inlineStr">
        <is>
          <t>LW-15473</t>
        </is>
      </c>
      <c r="D5" t="inlineStr">
        <is>
          <t>Impulse Coupling</t>
        </is>
      </c>
      <c r="E5" t="n">
        <v>1</v>
      </c>
    </row>
    <row r="6">
      <c r="A6" t="inlineStr">
        <is>
          <t>10-320680</t>
        </is>
      </c>
      <c r="B6" t="inlineStr">
        <is>
          <t>S-1200 Magneto</t>
        </is>
      </c>
      <c r="C6" t="inlineStr">
        <is>
          <t>10-357170</t>
        </is>
      </c>
      <c r="D6" t="inlineStr">
        <is>
          <t>Coil Assembly</t>
        </is>
      </c>
      <c r="E6" t="n">
        <v>1</v>
      </c>
    </row>
    <row r="7">
      <c r="A7" t="inlineStr">
        <is>
          <t>10-320680</t>
        </is>
      </c>
      <c r="B7" t="inlineStr">
        <is>
          <t>S-1200 Magneto</t>
        </is>
      </c>
      <c r="C7" t="inlineStr">
        <is>
          <t>10-357210</t>
        </is>
      </c>
      <c r="D7" t="inlineStr">
        <is>
          <t>Capacitor</t>
        </is>
      </c>
      <c r="E7" t="n">
        <v>1</v>
      </c>
    </row>
    <row r="8">
      <c r="A8" t="inlineStr">
        <is>
          <t>10-391088</t>
        </is>
      </c>
      <c r="B8" t="inlineStr">
        <is>
          <t>D-2000/D-3000</t>
        </is>
      </c>
      <c r="C8" t="inlineStr">
        <is>
          <t>10-357170</t>
        </is>
      </c>
      <c r="D8" t="inlineStr">
        <is>
          <t>Coil Assembly</t>
        </is>
      </c>
      <c r="E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15" customWidth="1" min="2" max="2"/>
    <col width="35" customWidth="1" min="3" max="3"/>
  </cols>
  <sheetData>
    <row r="1">
      <c r="A1" s="59" t="inlineStr">
        <is>
          <t>SYSTEM CONFIGURATION</t>
        </is>
      </c>
    </row>
    <row r="2">
      <c r="A2" s="56" t="inlineStr">
        <is>
          <t>Quote Prefix</t>
        </is>
      </c>
      <c r="B2" s="16" t="inlineStr">
        <is>
          <t>QAA</t>
        </is>
      </c>
      <c r="C2" s="28" t="inlineStr"/>
    </row>
    <row r="3">
      <c r="A3" s="56" t="inlineStr">
        <is>
          <t>Next Quote #</t>
        </is>
      </c>
      <c r="B3" s="16" t="n">
        <v>1</v>
      </c>
      <c r="C3" s="28" t="inlineStr">
        <is>
          <t>Auto-increments</t>
        </is>
      </c>
    </row>
    <row r="4">
      <c r="A4" s="56" t="inlineStr">
        <is>
          <t>Quote Valid Days</t>
        </is>
      </c>
      <c r="B4" s="16" t="n">
        <v>30</v>
      </c>
      <c r="C4" s="28" t="inlineStr"/>
    </row>
    <row r="5">
      <c r="A5" s="56" t="inlineStr">
        <is>
          <t>500HR Default Fee</t>
        </is>
      </c>
      <c r="B5" s="16" t="n">
        <v>550</v>
      </c>
      <c r="C5" s="28" t="inlineStr">
        <is>
          <t>Fallback price</t>
        </is>
      </c>
    </row>
    <row r="6">
      <c r="A6" s="56" t="inlineStr">
        <is>
          <t>500HR Findings Fee</t>
        </is>
      </c>
      <c r="B6" s="16" t="n">
        <v>110</v>
      </c>
      <c r="C6" s="28" t="inlineStr">
        <is>
          <t>Per unit with findings</t>
        </is>
      </c>
    </row>
    <row r="7">
      <c r="A7" s="56" t="inlineStr">
        <is>
          <t>Reminder Days</t>
        </is>
      </c>
      <c r="B7" s="16" t="n">
        <v>7</v>
      </c>
      <c r="C7" s="28" t="inlineStr">
        <is>
          <t>Days before highlight</t>
        </is>
      </c>
    </row>
    <row r="9">
      <c r="A9" s="4" t="inlineStr">
        <is>
          <t>TIER DISCOUNTS</t>
        </is>
      </c>
    </row>
    <row r="10">
      <c r="A10" t="inlineStr">
        <is>
          <t>Standard</t>
        </is>
      </c>
      <c r="B10" s="60" t="n">
        <v>0</v>
      </c>
    </row>
    <row r="11">
      <c r="A11" t="inlineStr">
        <is>
          <t>Tier 1</t>
        </is>
      </c>
      <c r="B11" s="60" t="n">
        <v>0.07000000000000001</v>
      </c>
    </row>
    <row r="12">
      <c r="A12" t="inlineStr">
        <is>
          <t>Tier 2</t>
        </is>
      </c>
      <c r="B12" s="60" t="n">
        <v>0.1</v>
      </c>
    </row>
    <row r="13">
      <c r="A13" t="inlineStr">
        <is>
          <t>Tier 3</t>
        </is>
      </c>
      <c r="B13" s="60" t="n">
        <v>0.13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2026-01-09T21:33:01Z</dcterms:created>
  <dcterms:modified xsi:type="dcterms:W3CDTF">2026-01-09T21:33:01Z</dcterms:modified>
</cp:coreProperties>
</file>