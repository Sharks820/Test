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500HR" sheetId="2" state="visible" r:id="rId2"/>
    <sheet name="Cust Property" sheetId="3" state="visible" r:id="rId3"/>
    <sheet name="Exchange" sheetId="4" state="visible" r:id="rId4"/>
    <sheet name="Parts Master" sheetId="5" state="visible" r:id="rId5"/>
    <sheet name="BOM" sheetId="6" state="visible" r:id="rId6"/>
    <sheet name="Config" sheetId="7" state="visible" r:id="rId7"/>
    <sheet name="Quote Log" sheetId="8" state="visible" r:id="rId8"/>
    <sheet name="Email Log" sheetId="9" state="visible" r:id="rId9"/>
    <sheet name="Inventory" sheetId="10" state="visible" r:id="rId10"/>
  </sheets>
  <definedNames>
    <definedName name="_xlnm.Print_Area" localSheetId="1">'500HR'!$A$1:$J$37</definedName>
    <definedName name="_xlnm.Print_Area" localSheetId="2">'Cust Property'!$A$1:$I$36</definedName>
    <definedName name="_xlnm.Print_Area" localSheetId="3">'Exchange'!$A$1:$J$30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22">
    <font>
      <name val="Calibri"/>
      <family val="2"/>
      <color theme="1"/>
      <sz val="11"/>
      <scheme val="minor"/>
    </font>
    <font>
      <name val="Calibri"/>
      <b val="1"/>
      <color rgb="001B365D"/>
      <sz val="24"/>
    </font>
    <font>
      <name val="Calibri"/>
      <i val="1"/>
      <color rgb="0000A3E0"/>
      <sz val="12"/>
    </font>
    <font>
      <name val="Calibri"/>
      <b val="1"/>
      <color rgb="00FFFFFF"/>
      <sz val="20"/>
    </font>
    <font>
      <name val="Calibri"/>
      <b val="1"/>
      <color rgb="001B365D"/>
      <sz val="14"/>
    </font>
    <font>
      <name val="Calibri"/>
      <b val="1"/>
      <color rgb="001B365D"/>
      <sz val="11"/>
    </font>
    <font>
      <name val="Calibri"/>
      <color rgb="00666666"/>
      <sz val="10"/>
    </font>
    <font>
      <name val="Calibri"/>
      <b val="1"/>
      <color rgb="001B365D"/>
      <sz val="16"/>
    </font>
    <font>
      <name val="Calibri"/>
      <b val="1"/>
      <color rgb="00FFFFFF"/>
      <sz val="14"/>
    </font>
    <font>
      <i val="1"/>
      <color rgb="0000A3E0"/>
      <sz val="9"/>
    </font>
    <font>
      <b val="1"/>
      <color rgb="001B365D"/>
      <sz val="12"/>
    </font>
    <font>
      <b val="1"/>
      <color rgb="00FFFFFF"/>
      <sz val="10"/>
    </font>
    <font>
      <b val="1"/>
      <color rgb="001B365D"/>
      <sz val="11"/>
    </font>
    <font>
      <b val="1"/>
      <sz val="8"/>
    </font>
    <font>
      <sz val="8"/>
    </font>
    <font>
      <sz val="14"/>
    </font>
    <font>
      <b val="1"/>
    </font>
    <font>
      <b val="1"/>
      <color rgb="001B365D"/>
      <sz val="14"/>
    </font>
    <font>
      <i val="1"/>
      <color rgb="00666666"/>
    </font>
    <font>
      <b val="1"/>
      <color rgb="00FFFFFF"/>
      <sz val="9"/>
    </font>
    <font>
      <b val="1"/>
      <color rgb="00008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DE7"/>
        <bgColor rgb="00FFFDE7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0" pivotButton="0" quotePrefix="0" xfId="0"/>
    <xf numFmtId="0" fontId="1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center" wrapText="1"/>
    </xf>
    <xf numFmtId="0" fontId="14" fillId="0" borderId="0" pivotButton="0" quotePrefix="0" xfId="0"/>
    <xf numFmtId="0" fontId="15" fillId="0" borderId="1" applyAlignment="1" pivotButton="0" quotePrefix="0" xfId="0">
      <alignment horizontal="center"/>
    </xf>
    <xf numFmtId="165" fontId="0" fillId="0" borderId="0" pivotButton="0" quotePrefix="0" xfId="0"/>
    <xf numFmtId="165" fontId="16" fillId="0" borderId="0" pivotButton="0" quotePrefix="0" xfId="0"/>
    <xf numFmtId="165" fontId="17" fillId="4" borderId="6" pivotButton="0" quotePrefix="0" xfId="0"/>
    <xf numFmtId="0" fontId="0" fillId="0" borderId="9" pivotButton="0" quotePrefix="0" xfId="0"/>
    <xf numFmtId="0" fontId="16" fillId="0" borderId="0" pivotButton="0" quotePrefix="0" xfId="0"/>
    <xf numFmtId="0" fontId="18" fillId="0" borderId="0" pivotButton="0" quotePrefix="0" xfId="0"/>
    <xf numFmtId="0" fontId="11" fillId="2" borderId="1" pivotButton="0" quotePrefix="0" xfId="0"/>
    <xf numFmtId="165" fontId="0" fillId="3" borderId="1" pivotButton="0" quotePrefix="0" xfId="0"/>
    <xf numFmtId="0" fontId="19" fillId="2" borderId="1" pivotButton="0" quotePrefix="0" xfId="0"/>
    <xf numFmtId="165" fontId="20" fillId="0" borderId="0" pivotButton="0" quotePrefix="0" xfId="0"/>
    <xf numFmtId="0" fontId="21" fillId="2" borderId="1" pivotButton="0" quotePrefix="0" xfId="0"/>
    <xf numFmtId="0" fontId="21" fillId="2" borderId="0" pivotButton="0" quotePrefix="0" xfId="0"/>
    <xf numFmtId="0" fontId="17" fillId="0" borderId="0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Relationship Type="http://schemas.openxmlformats.org/officeDocument/2006/relationships/image" Target="/xl/media/image9.png" Id="rId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Relationship Type="http://schemas.openxmlformats.org/officeDocument/2006/relationships/image" Target="/xl/media/image13.png" Id="rId4" /><Relationship Type="http://schemas.openxmlformats.org/officeDocument/2006/relationships/image" Target="/xl/media/image14.png" Id="rId5" /><Relationship Type="http://schemas.openxmlformats.org/officeDocument/2006/relationships/image" Target="/xl/media/image15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Relationship Type="http://schemas.openxmlformats.org/officeDocument/2006/relationships/image" Target="/xl/media/image19.png" Id="rId4" /><Relationship Type="http://schemas.openxmlformats.org/officeDocument/2006/relationships/image" Target="/xl/media/image20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905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52400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1714500" cy="47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37</row>
      <rowOff>0</rowOff>
    </from>
    <ext cx="171450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142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133350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952500" cy="381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428750" cy="47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171450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142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</row>
      <rowOff>0</rowOff>
    </from>
    <ext cx="133350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952500" cy="381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333500" cy="381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428750" cy="47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171450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42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133350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952500" cy="381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428750" cy="47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5" customWidth="1" min="4" max="4"/>
    <col width="25" customWidth="1" min="5" max="5"/>
    <col width="5" customWidth="1" min="6" max="6"/>
  </cols>
  <sheetData>
    <row r="2">
      <c r="B2" s="1" t="inlineStr">
        <is>
          <t>QUALITY AIRCRAFT ACCESSORIES</t>
        </is>
      </c>
    </row>
    <row r="3">
      <c r="B3" s="2" t="inlineStr">
        <is>
          <t>A Hartzell Engine Technologies Company</t>
        </is>
      </c>
    </row>
    <row r="8" ht="40" customHeight="1">
      <c r="B8" s="3" t="inlineStr">
        <is>
          <t>QUOTE SYSTEM</t>
        </is>
      </c>
    </row>
    <row r="11">
      <c r="B11" s="4" t="inlineStr">
        <is>
          <t>SELECT QUOTE TYPE:</t>
        </is>
      </c>
    </row>
    <row r="13">
      <c r="B13" s="5" t="inlineStr">
        <is>
          <t>500HR SERVICE</t>
        </is>
      </c>
      <c r="C13" s="5" t="inlineStr">
        <is>
          <t>CUSTOMER PROPERTY</t>
        </is>
      </c>
      <c r="D13" s="5" t="inlineStr">
        <is>
          <t>EXCHANGE / SALE</t>
        </is>
      </c>
    </row>
    <row r="14">
      <c r="B14" s="6" t="inlineStr">
        <is>
          <t>500-hour magneto inspection quotes</t>
        </is>
      </c>
      <c r="C14" s="6" t="inlineStr">
        <is>
          <t>Overhaul quotes for customer units</t>
        </is>
      </c>
      <c r="D14" s="6" t="inlineStr">
        <is>
          <t>Exchange units &amp; inventory sales</t>
        </is>
      </c>
    </row>
    <row r="16">
      <c r="B16" t="inlineStr">
        <is>
          <t>[500HR Button]</t>
        </is>
      </c>
      <c r="C16" t="inlineStr">
        <is>
          <t>[Cust Prop Button]</t>
        </is>
      </c>
      <c r="D16" t="inlineStr">
        <is>
          <t>[Exchange Button]</t>
        </is>
      </c>
    </row>
    <row r="20">
      <c r="B20" s="7" t="inlineStr">
        <is>
          <t>5746 E Apache St, Tulsa, OK 74115 | 918-835-6948 | sales@qaainc.com | qaa.com</t>
        </is>
      </c>
    </row>
  </sheetData>
  <mergeCells count="4">
    <mergeCell ref="B8:E8"/>
    <mergeCell ref="B3:E3"/>
    <mergeCell ref="B2:E2"/>
    <mergeCell ref="B20:E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28" customWidth="1" min="4" max="4"/>
    <col width="12" customWidth="1" min="5" max="5"/>
    <col width="10" customWidth="1" min="6" max="6"/>
    <col width="15" customWidth="1" min="7" max="7"/>
    <col width="14" customWidth="1" min="8" max="8"/>
    <col width="14" customWidth="1" min="9" max="9"/>
    <col width="3" customWidth="1" min="10" max="10"/>
  </cols>
  <sheetData>
    <row r="1">
      <c r="B1" s="8" t="inlineStr">
        <is>
          <t>QUALITY AIRCRAFT ACCESSORIES</t>
        </is>
      </c>
    </row>
    <row r="2" ht="30" customHeight="1">
      <c r="B2" s="9" t="inlineStr">
        <is>
          <t>500HR MAGNETO INSPECTION SERVICE QUOTE</t>
        </is>
      </c>
    </row>
    <row r="3">
      <c r="B3" s="10" t="inlineStr">
        <is>
          <t>A Hartzell Engine Technologies Company</t>
        </is>
      </c>
    </row>
    <row r="5">
      <c r="B5" t="inlineStr">
        <is>
          <t>Quote #:</t>
        </is>
      </c>
      <c r="C5" s="11">
        <f>Config!B2&amp;"-"&amp;TEXT(Config!B3,"00000")</f>
        <v/>
      </c>
      <c r="E5" t="inlineStr">
        <is>
          <t>Date:</t>
        </is>
      </c>
      <c r="F5" s="12" t="inlineStr">
        <is>
          <t>01/09/2026</t>
        </is>
      </c>
    </row>
    <row r="6">
      <c r="B6" t="inlineStr">
        <is>
          <t>Customer Email:</t>
        </is>
      </c>
      <c r="C6" s="13" t="inlineStr"/>
      <c r="D6" s="14" t="n"/>
      <c r="E6" s="15" t="n"/>
      <c r="G6" t="inlineStr">
        <is>
          <t>Approval Req?</t>
        </is>
      </c>
      <c r="H6" s="16" t="inlineStr">
        <is>
          <t>No</t>
        </is>
      </c>
    </row>
    <row r="9">
      <c r="B9" s="17" t="inlineStr">
        <is>
          <t>Magneto P/N</t>
        </is>
      </c>
      <c r="C9" s="17" t="inlineStr">
        <is>
          <t>Serial #</t>
        </is>
      </c>
      <c r="D9" s="17" t="inlineStr">
        <is>
          <t>Description</t>
        </is>
      </c>
      <c r="E9" s="17" t="inlineStr">
        <is>
          <t>500HR Price</t>
        </is>
      </c>
      <c r="F9" s="17" t="inlineStr">
        <is>
          <t>Ovhl Req?</t>
        </is>
      </c>
      <c r="G9" s="17" t="inlineStr">
        <is>
          <t>CO Part #</t>
        </is>
      </c>
      <c r="H9" s="17" t="inlineStr">
        <is>
          <t>CO Price</t>
        </is>
      </c>
      <c r="I9" s="17" t="inlineStr">
        <is>
          <t>Line Total</t>
        </is>
      </c>
    </row>
    <row r="10">
      <c r="B10" s="13" t="inlineStr"/>
      <c r="C10" s="13" t="inlineStr"/>
      <c r="D10" s="18">
        <f>IF(B10="","",IFERROR(VLOOKUP(B10&amp;"5H",'Parts Master'!$A:$H,2,FALSE),VLOOKUP(B10,'Parts Master'!$A:$H,2,FALSE)))</f>
        <v/>
      </c>
      <c r="E10" s="19">
        <f>IF(B10="","",IFERROR(VLOOKUP(B10&amp;"5H",'Parts Master'!$A:$H,4,FALSE),Config!$B$5))</f>
        <v/>
      </c>
      <c r="F10" s="13" t="inlineStr"/>
      <c r="G10" s="18">
        <f>IF(F10="Yes",SUBSTITUTE(SUBSTITUTE(B10,"5H",""),"-OH","")&amp;"-CO","")</f>
        <v/>
      </c>
      <c r="H10" s="19">
        <f>IF(G10="","",IFERROR(VLOOKUP(G10,'Parts Master'!$A:$H,4,FALSE),0))</f>
        <v/>
      </c>
      <c r="I10" s="19">
        <f>IF(B10="","",IF(F10="Yes",H10,E10))</f>
        <v/>
      </c>
    </row>
    <row r="11">
      <c r="B11" s="13" t="inlineStr"/>
      <c r="C11" s="13" t="inlineStr"/>
      <c r="D11" s="18">
        <f>IF(B11="","",IFERROR(VLOOKUP(B11&amp;"5H",'Parts Master'!$A:$H,2,FALSE),VLOOKUP(B11,'Parts Master'!$A:$H,2,FALSE)))</f>
        <v/>
      </c>
      <c r="E11" s="19">
        <f>IF(B11="","",IFERROR(VLOOKUP(B11&amp;"5H",'Parts Master'!$A:$H,4,FALSE),Config!$B$5))</f>
        <v/>
      </c>
      <c r="F11" s="13" t="inlineStr"/>
      <c r="G11" s="18">
        <f>IF(F11="Yes",SUBSTITUTE(SUBSTITUTE(B11,"5H",""),"-OH","")&amp;"-CO","")</f>
        <v/>
      </c>
      <c r="H11" s="19">
        <f>IF(G11="","",IFERROR(VLOOKUP(G11,'Parts Master'!$A:$H,4,FALSE),0))</f>
        <v/>
      </c>
      <c r="I11" s="19">
        <f>IF(B11="","",IF(F11="Yes",H11,E11))</f>
        <v/>
      </c>
    </row>
    <row r="12">
      <c r="B12" s="13" t="inlineStr"/>
      <c r="C12" s="13" t="inlineStr"/>
      <c r="D12" s="18">
        <f>IF(B12="","",IFERROR(VLOOKUP(B12&amp;"5H",'Parts Master'!$A:$H,2,FALSE),VLOOKUP(B12,'Parts Master'!$A:$H,2,FALSE)))</f>
        <v/>
      </c>
      <c r="E12" s="19">
        <f>IF(B12="","",IFERROR(VLOOKUP(B12&amp;"5H",'Parts Master'!$A:$H,4,FALSE),Config!$B$5))</f>
        <v/>
      </c>
      <c r="F12" s="13" t="inlineStr"/>
      <c r="G12" s="18">
        <f>IF(F12="Yes",SUBSTITUTE(SUBSTITUTE(B12,"5H",""),"-OH","")&amp;"-CO","")</f>
        <v/>
      </c>
      <c r="H12" s="19">
        <f>IF(G12="","",IFERROR(VLOOKUP(G12,'Parts Master'!$A:$H,4,FALSE),0))</f>
        <v/>
      </c>
      <c r="I12" s="19">
        <f>IF(B12="","",IF(F12="Yes",H12,E12))</f>
        <v/>
      </c>
    </row>
    <row r="13">
      <c r="B13" s="13" t="inlineStr"/>
      <c r="C13" s="13" t="inlineStr"/>
      <c r="D13" s="18">
        <f>IF(B13="","",IFERROR(VLOOKUP(B13&amp;"5H",'Parts Master'!$A:$H,2,FALSE),VLOOKUP(B13,'Parts Master'!$A:$H,2,FALSE)))</f>
        <v/>
      </c>
      <c r="E13" s="19">
        <f>IF(B13="","",IFERROR(VLOOKUP(B13&amp;"5H",'Parts Master'!$A:$H,4,FALSE),Config!$B$5))</f>
        <v/>
      </c>
      <c r="F13" s="13" t="inlineStr"/>
      <c r="G13" s="18">
        <f>IF(F13="Yes",SUBSTITUTE(SUBSTITUTE(B13,"5H",""),"-OH","")&amp;"-CO","")</f>
        <v/>
      </c>
      <c r="H13" s="19">
        <f>IF(G13="","",IFERROR(VLOOKUP(G13,'Parts Master'!$A:$H,4,FALSE),0))</f>
        <v/>
      </c>
      <c r="I13" s="19">
        <f>IF(B13="","",IF(F13="Yes",H13,E13))</f>
        <v/>
      </c>
    </row>
    <row r="14">
      <c r="B14" s="13" t="inlineStr"/>
      <c r="C14" s="13" t="inlineStr"/>
      <c r="D14" s="18">
        <f>IF(B14="","",IFERROR(VLOOKUP(B14&amp;"5H",'Parts Master'!$A:$H,2,FALSE),VLOOKUP(B14,'Parts Master'!$A:$H,2,FALSE)))</f>
        <v/>
      </c>
      <c r="E14" s="19">
        <f>IF(B14="","",IFERROR(VLOOKUP(B14&amp;"5H",'Parts Master'!$A:$H,4,FALSE),Config!$B$5))</f>
        <v/>
      </c>
      <c r="F14" s="13" t="inlineStr"/>
      <c r="G14" s="18">
        <f>IF(F14="Yes",SUBSTITUTE(SUBSTITUTE(B14,"5H",""),"-OH","")&amp;"-CO","")</f>
        <v/>
      </c>
      <c r="H14" s="19">
        <f>IF(G14="","",IFERROR(VLOOKUP(G14,'Parts Master'!$A:$H,4,FALSE),0))</f>
        <v/>
      </c>
      <c r="I14" s="19">
        <f>IF(B14="","",IF(F14="Yes",H14,E14))</f>
        <v/>
      </c>
    </row>
    <row r="15">
      <c r="B15" s="13" t="inlineStr"/>
      <c r="C15" s="13" t="inlineStr"/>
      <c r="D15" s="18">
        <f>IF(B15="","",IFERROR(VLOOKUP(B15&amp;"5H",'Parts Master'!$A:$H,2,FALSE),VLOOKUP(B15,'Parts Master'!$A:$H,2,FALSE)))</f>
        <v/>
      </c>
      <c r="E15" s="19">
        <f>IF(B15="","",IFERROR(VLOOKUP(B15&amp;"5H",'Parts Master'!$A:$H,4,FALSE),Config!$B$5))</f>
        <v/>
      </c>
      <c r="F15" s="13" t="inlineStr"/>
      <c r="G15" s="18">
        <f>IF(F15="Yes",SUBSTITUTE(SUBSTITUTE(B15,"5H",""),"-OH","")&amp;"-CO","")</f>
        <v/>
      </c>
      <c r="H15" s="19">
        <f>IF(G15="","",IFERROR(VLOOKUP(G15,'Parts Master'!$A:$H,4,FALSE),0))</f>
        <v/>
      </c>
      <c r="I15" s="19">
        <f>IF(B15="","",IF(F15="Yes",H15,E15))</f>
        <v/>
      </c>
    </row>
    <row r="17">
      <c r="B17" s="20" t="inlineStr">
        <is>
          <t>INSPECTION FINDINGS</t>
        </is>
      </c>
    </row>
    <row r="18">
      <c r="B18" s="21" t="inlineStr">
        <is>
          <t>Bad Coil</t>
        </is>
      </c>
      <c r="C18" s="21" t="inlineStr">
        <is>
          <t>Bad Capacito</t>
        </is>
      </c>
      <c r="D18" s="21" t="inlineStr">
        <is>
          <t>Bad Dist Blo</t>
        </is>
      </c>
      <c r="E18" s="21" t="inlineStr">
        <is>
          <t>Bad Impulse</t>
        </is>
      </c>
      <c r="F18" s="21" t="inlineStr">
        <is>
          <t>Worn Gear</t>
        </is>
      </c>
      <c r="G18" s="21" t="inlineStr">
        <is>
          <t>Bad Points</t>
        </is>
      </c>
      <c r="H18" s="21" t="inlineStr">
        <is>
          <t>Bad Bearings</t>
        </is>
      </c>
      <c r="I18" s="21" t="inlineStr">
        <is>
          <t>Oil in Housi</t>
        </is>
      </c>
    </row>
    <row r="19">
      <c r="A19" s="22" t="inlineStr">
        <is>
          <t>Unit 1</t>
        </is>
      </c>
      <c r="B19" s="23" t="inlineStr">
        <is>
          <t>☐</t>
        </is>
      </c>
      <c r="C19" s="23" t="inlineStr">
        <is>
          <t>☐</t>
        </is>
      </c>
      <c r="D19" s="23" t="inlineStr">
        <is>
          <t>☐</t>
        </is>
      </c>
      <c r="E19" s="23" t="inlineStr">
        <is>
          <t>☐</t>
        </is>
      </c>
      <c r="F19" s="23" t="inlineStr">
        <is>
          <t>☐</t>
        </is>
      </c>
      <c r="G19" s="23" t="inlineStr">
        <is>
          <t>☐</t>
        </is>
      </c>
      <c r="H19" s="23" t="inlineStr">
        <is>
          <t>☐</t>
        </is>
      </c>
      <c r="I19" s="23" t="inlineStr">
        <is>
          <t>☐</t>
        </is>
      </c>
    </row>
    <row r="20">
      <c r="A20" s="22" t="inlineStr">
        <is>
          <t>Unit 2</t>
        </is>
      </c>
      <c r="B20" s="23" t="inlineStr">
        <is>
          <t>☐</t>
        </is>
      </c>
      <c r="C20" s="23" t="inlineStr">
        <is>
          <t>☐</t>
        </is>
      </c>
      <c r="D20" s="23" t="inlineStr">
        <is>
          <t>☐</t>
        </is>
      </c>
      <c r="E20" s="23" t="inlineStr">
        <is>
          <t>☐</t>
        </is>
      </c>
      <c r="F20" s="23" t="inlineStr">
        <is>
          <t>☐</t>
        </is>
      </c>
      <c r="G20" s="23" t="inlineStr">
        <is>
          <t>☐</t>
        </is>
      </c>
      <c r="H20" s="23" t="inlineStr">
        <is>
          <t>☐</t>
        </is>
      </c>
      <c r="I20" s="23" t="inlineStr">
        <is>
          <t>☐</t>
        </is>
      </c>
    </row>
    <row r="21">
      <c r="A21" s="22" t="inlineStr">
        <is>
          <t>Unit 3</t>
        </is>
      </c>
      <c r="B21" s="23" t="inlineStr">
        <is>
          <t>☐</t>
        </is>
      </c>
      <c r="C21" s="23" t="inlineStr">
        <is>
          <t>☐</t>
        </is>
      </c>
      <c r="D21" s="23" t="inlineStr">
        <is>
          <t>☐</t>
        </is>
      </c>
      <c r="E21" s="23" t="inlineStr">
        <is>
          <t>☐</t>
        </is>
      </c>
      <c r="F21" s="23" t="inlineStr">
        <is>
          <t>☐</t>
        </is>
      </c>
      <c r="G21" s="23" t="inlineStr">
        <is>
          <t>☐</t>
        </is>
      </c>
      <c r="H21" s="23" t="inlineStr">
        <is>
          <t>☐</t>
        </is>
      </c>
      <c r="I21" s="23" t="inlineStr">
        <is>
          <t>☐</t>
        </is>
      </c>
    </row>
    <row r="22">
      <c r="A22" s="22" t="inlineStr">
        <is>
          <t>Unit 4</t>
        </is>
      </c>
      <c r="B22" s="23" t="inlineStr">
        <is>
          <t>☐</t>
        </is>
      </c>
      <c r="C22" s="23" t="inlineStr">
        <is>
          <t>☐</t>
        </is>
      </c>
      <c r="D22" s="23" t="inlineStr">
        <is>
          <t>☐</t>
        </is>
      </c>
      <c r="E22" s="23" t="inlineStr">
        <is>
          <t>☐</t>
        </is>
      </c>
      <c r="F22" s="23" t="inlineStr">
        <is>
          <t>☐</t>
        </is>
      </c>
      <c r="G22" s="23" t="inlineStr">
        <is>
          <t>☐</t>
        </is>
      </c>
      <c r="H22" s="23" t="inlineStr">
        <is>
          <t>☐</t>
        </is>
      </c>
      <c r="I22" s="23" t="inlineStr">
        <is>
          <t>☐</t>
        </is>
      </c>
    </row>
    <row r="23">
      <c r="A23" s="22" t="inlineStr">
        <is>
          <t>Unit 5</t>
        </is>
      </c>
      <c r="B23" s="23" t="inlineStr">
        <is>
          <t>☐</t>
        </is>
      </c>
      <c r="C23" s="23" t="inlineStr">
        <is>
          <t>☐</t>
        </is>
      </c>
      <c r="D23" s="23" t="inlineStr">
        <is>
          <t>☐</t>
        </is>
      </c>
      <c r="E23" s="23" t="inlineStr">
        <is>
          <t>☐</t>
        </is>
      </c>
      <c r="F23" s="23" t="inlineStr">
        <is>
          <t>☐</t>
        </is>
      </c>
      <c r="G23" s="23" t="inlineStr">
        <is>
          <t>☐</t>
        </is>
      </c>
      <c r="H23" s="23" t="inlineStr">
        <is>
          <t>☐</t>
        </is>
      </c>
      <c r="I23" s="23" t="inlineStr">
        <is>
          <t>☐</t>
        </is>
      </c>
    </row>
    <row r="24">
      <c r="A24" s="22" t="inlineStr">
        <is>
          <t>Unit 6</t>
        </is>
      </c>
      <c r="B24" s="23" t="inlineStr">
        <is>
          <t>☐</t>
        </is>
      </c>
      <c r="C24" s="23" t="inlineStr">
        <is>
          <t>☐</t>
        </is>
      </c>
      <c r="D24" s="23" t="inlineStr">
        <is>
          <t>☐</t>
        </is>
      </c>
      <c r="E24" s="23" t="inlineStr">
        <is>
          <t>☐</t>
        </is>
      </c>
      <c r="F24" s="23" t="inlineStr">
        <is>
          <t>☐</t>
        </is>
      </c>
      <c r="G24" s="23" t="inlineStr">
        <is>
          <t>☐</t>
        </is>
      </c>
      <c r="H24" s="23" t="inlineStr">
        <is>
          <t>☐</t>
        </is>
      </c>
      <c r="I24" s="23" t="inlineStr">
        <is>
          <t>☐</t>
        </is>
      </c>
    </row>
    <row r="26">
      <c r="B26" t="inlineStr">
        <is>
          <t>Units with Findings:</t>
        </is>
      </c>
      <c r="D26">
        <f>SUMPRODUCT((COUNTIF(B19:I19,"☑")+COUNTIF(B20:I20,"☑")+COUNTIF(B21:I21,"☑")+COUNTIF(B22:I22,"☑")+COUNTIF(B23:I23,"☑")+COUNTIF(B24:I24,"☑")&gt;0)*1)</f>
        <v/>
      </c>
    </row>
    <row r="27">
      <c r="B27" t="inlineStr">
        <is>
          <t>Findings Add-On ($110/unit):</t>
        </is>
      </c>
      <c r="D27" s="24">
        <f>D26*Config!$B$6</f>
        <v/>
      </c>
    </row>
    <row r="28">
      <c r="G28" t="inlineStr">
        <is>
          <t>500HR Service Total:</t>
        </is>
      </c>
      <c r="I28" s="25">
        <f>SUMIF(F10:F15,"&lt;&gt;Yes",E10:E15)</f>
        <v/>
      </c>
    </row>
    <row r="29">
      <c r="G29" t="inlineStr">
        <is>
          <t>Overhaul Total:</t>
        </is>
      </c>
      <c r="I29" s="24">
        <f>SUMIF(F10:F15,"Yes",H10:H15)</f>
        <v/>
      </c>
    </row>
    <row r="30">
      <c r="G30" t="inlineStr">
        <is>
          <t>GRAND TOTAL:</t>
        </is>
      </c>
      <c r="H30" s="26">
        <f>I28+I29+D27</f>
        <v/>
      </c>
      <c r="I30" s="27" t="n"/>
    </row>
    <row r="32">
      <c r="B32" s="28" t="inlineStr">
        <is>
          <t>Notes:</t>
        </is>
      </c>
    </row>
    <row r="33">
      <c r="B33" s="13" t="inlineStr"/>
    </row>
    <row r="34"/>
    <row r="35"/>
    <row r="37">
      <c r="B37" s="29" t="inlineStr">
        <is>
          <t>Thank you for choosing Quality Aircraft Accessories!</t>
        </is>
      </c>
    </row>
  </sheetData>
  <mergeCells count="6">
    <mergeCell ref="B2:I2"/>
    <mergeCell ref="B33:I35"/>
    <mergeCell ref="B1:I1"/>
    <mergeCell ref="H30:I30"/>
    <mergeCell ref="C6:E6"/>
    <mergeCell ref="B17:I17"/>
  </mergeCells>
  <dataValidations count="1">
    <dataValidation sqref="F10 F11 F12 F13 F14 F15 H6" showDropDown="0" showInputMessage="0" showErrorMessage="0" allowBlank="1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3" customWidth="1" min="10" max="10"/>
  </cols>
  <sheetData>
    <row r="1">
      <c r="B1" s="8" t="inlineStr">
        <is>
          <t>QUALITY AIRCRAFT ACCESSORIES</t>
        </is>
      </c>
    </row>
    <row r="2" ht="30" customHeight="1">
      <c r="B2" s="9" t="inlineStr">
        <is>
          <t>CUSTOMER PROPERTY OVERHAUL QUOTE</t>
        </is>
      </c>
    </row>
    <row r="3">
      <c r="B3" s="10" t="inlineStr">
        <is>
          <t>A Hartzell Engine Technologies Company</t>
        </is>
      </c>
    </row>
    <row r="5">
      <c r="B5" t="inlineStr">
        <is>
          <t>Quote #:</t>
        </is>
      </c>
      <c r="C5" s="11">
        <f>Config!B2&amp;"-"&amp;TEXT(Config!B3,"00000")</f>
        <v/>
      </c>
      <c r="E5" t="inlineStr">
        <is>
          <t>Date:</t>
        </is>
      </c>
      <c r="F5" t="inlineStr">
        <is>
          <t>01/09/2026</t>
        </is>
      </c>
      <c r="H5" t="inlineStr">
        <is>
          <t>Updated:</t>
        </is>
      </c>
      <c r="I5" s="16" t="inlineStr"/>
    </row>
    <row r="6">
      <c r="B6" t="inlineStr">
        <is>
          <t>Customer Email:</t>
        </is>
      </c>
      <c r="C6" s="13" t="inlineStr"/>
      <c r="D6" s="14" t="n"/>
      <c r="E6" s="15" t="n"/>
      <c r="G6" t="inlineStr">
        <is>
          <t>Tier:</t>
        </is>
      </c>
      <c r="H6" s="16" t="inlineStr">
        <is>
          <t>Standard</t>
        </is>
      </c>
    </row>
    <row r="7">
      <c r="B7" t="inlineStr">
        <is>
          <t>Approval?</t>
        </is>
      </c>
      <c r="C7" s="16" t="inlineStr">
        <is>
          <t>No</t>
        </is>
      </c>
      <c r="D7" t="inlineStr">
        <is>
          <t>Shipping?</t>
        </is>
      </c>
      <c r="E7" s="16" t="inlineStr">
        <is>
          <t>No</t>
        </is>
      </c>
      <c r="F7" t="inlineStr">
        <is>
          <t>Payment?</t>
        </is>
      </c>
      <c r="G7" s="16" t="inlineStr">
        <is>
          <t>No</t>
        </is>
      </c>
    </row>
    <row r="10">
      <c r="B10" s="30" t="inlineStr">
        <is>
          <t>Unit P/N (-CO)</t>
        </is>
      </c>
      <c r="C10" s="30" t="inlineStr">
        <is>
          <t>Description</t>
        </is>
      </c>
      <c r="D10" s="30" t="inlineStr">
        <is>
          <t>Type</t>
        </is>
      </c>
      <c r="E10" s="30" t="inlineStr">
        <is>
          <t>Base Labor</t>
        </is>
      </c>
      <c r="F10" s="30" t="inlineStr">
        <is>
          <t>Your Price</t>
        </is>
      </c>
      <c r="G10" s="30" t="inlineStr">
        <is>
          <t>Exchange Cap</t>
        </is>
      </c>
    </row>
    <row r="11">
      <c r="B11" s="13" t="inlineStr"/>
      <c r="C11" s="18">
        <f>IF(B11="","",IFERROR(VLOOKUP(B11,'Parts Master'!$A:$H,2,FALSE),"Not Found"))</f>
        <v/>
      </c>
      <c r="D11" s="18">
        <f>IF(B11="","",IF(COUNTIF(BOM!$A:$A,SUBSTITUTE(B11,"-CO",""))&gt;0,"In-House","Vendor"))</f>
        <v/>
      </c>
      <c r="E11" s="31" t="inlineStr"/>
      <c r="F11" s="19">
        <f>IF(E11="","",E11*(1-VLOOKUP($H$6,Config!$A$10:$B$13,2,FALSE)))</f>
        <v/>
      </c>
      <c r="G11" s="19">
        <f>IF(B11="","",IFERROR(VLOOKUP(SUBSTITUTE(B11,"-CO","-OH"),'Parts Master'!$A:$H,4,FALSE),"N/A"))</f>
        <v/>
      </c>
    </row>
    <row r="12">
      <c r="B12" s="13" t="inlineStr"/>
      <c r="C12" s="18">
        <f>IF(B12="","",IFERROR(VLOOKUP(B12,'Parts Master'!$A:$H,2,FALSE),"Not Found"))</f>
        <v/>
      </c>
      <c r="D12" s="18">
        <f>IF(B12="","",IF(COUNTIF(BOM!$A:$A,SUBSTITUTE(B12,"-CO",""))&gt;0,"In-House","Vendor"))</f>
        <v/>
      </c>
      <c r="E12" s="31" t="inlineStr"/>
      <c r="F12" s="19">
        <f>IF(E12="","",E12*(1-VLOOKUP($H$6,Config!$A$10:$B$13,2,FALSE)))</f>
        <v/>
      </c>
      <c r="G12" s="19">
        <f>IF(B12="","",IFERROR(VLOOKUP(SUBSTITUTE(B12,"-CO","-OH"),'Parts Master'!$A:$H,4,FALSE),"N/A"))</f>
        <v/>
      </c>
    </row>
    <row r="13">
      <c r="B13" s="13" t="inlineStr"/>
      <c r="C13" s="18">
        <f>IF(B13="","",IFERROR(VLOOKUP(B13,'Parts Master'!$A:$H,2,FALSE),"Not Found"))</f>
        <v/>
      </c>
      <c r="D13" s="18">
        <f>IF(B13="","",IF(COUNTIF(BOM!$A:$A,SUBSTITUTE(B13,"-CO",""))&gt;0,"In-House","Vendor"))</f>
        <v/>
      </c>
      <c r="E13" s="31" t="inlineStr"/>
      <c r="F13" s="19">
        <f>IF(E13="","",E13*(1-VLOOKUP($H$6,Config!$A$10:$B$13,2,FALSE)))</f>
        <v/>
      </c>
      <c r="G13" s="19">
        <f>IF(B13="","",IFERROR(VLOOKUP(SUBSTITUTE(B13,"-CO","-OH"),'Parts Master'!$A:$H,4,FALSE),"N/A"))</f>
        <v/>
      </c>
    </row>
    <row r="14">
      <c r="B14" s="13" t="inlineStr"/>
      <c r="C14" s="18">
        <f>IF(B14="","",IFERROR(VLOOKUP(B14,'Parts Master'!$A:$H,2,FALSE),"Not Found"))</f>
        <v/>
      </c>
      <c r="D14" s="18">
        <f>IF(B14="","",IF(COUNTIF(BOM!$A:$A,SUBSTITUTE(B14,"-CO",""))&gt;0,"In-House","Vendor"))</f>
        <v/>
      </c>
      <c r="E14" s="31" t="inlineStr"/>
      <c r="F14" s="19">
        <f>IF(E14="","",E14*(1-VLOOKUP($H$6,Config!$A$10:$B$13,2,FALSE)))</f>
        <v/>
      </c>
      <c r="G14" s="19">
        <f>IF(B14="","",IFERROR(VLOOKUP(SUBSTITUTE(B14,"-CO","-OH"),'Parts Master'!$A:$H,4,FALSE),"N/A"))</f>
        <v/>
      </c>
    </row>
    <row r="16">
      <c r="B16" s="20" t="inlineStr">
        <is>
          <t>OVER &amp; ABOVE PARTS</t>
        </is>
      </c>
    </row>
    <row r="17">
      <c r="A17" s="32" t="inlineStr">
        <is>
          <t>Unit#</t>
        </is>
      </c>
      <c r="B17" s="32" t="inlineStr">
        <is>
          <t>Part #</t>
        </is>
      </c>
      <c r="C17" s="32" t="inlineStr">
        <is>
          <t>Description</t>
        </is>
      </c>
      <c r="D17" s="32" t="inlineStr">
        <is>
          <t>Qty</t>
        </is>
      </c>
      <c r="E17" s="32" t="inlineStr">
        <is>
          <t>Unit Price</t>
        </is>
      </c>
      <c r="F17" s="32" t="inlineStr">
        <is>
          <t>Override</t>
        </is>
      </c>
      <c r="G17" s="32" t="inlineStr">
        <is>
          <t>Extended</t>
        </is>
      </c>
      <c r="H17" s="32" t="inlineStr">
        <is>
          <t>Status</t>
        </is>
      </c>
    </row>
    <row r="18">
      <c r="A18" s="13" t="inlineStr"/>
      <c r="B18" s="13" t="inlineStr"/>
      <c r="C18" s="18">
        <f>IF(B18="","",IFERROR(VLOOKUP(B18,'Parts Master'!$A:$H,2,FALSE),""))</f>
        <v/>
      </c>
      <c r="D18" s="13" t="inlineStr"/>
      <c r="E18" s="19">
        <f>IF(B18="","",IFERROR(VLOOKUP(B18,'Parts Master'!$A:$H,4,FALSE),0))</f>
        <v/>
      </c>
      <c r="F18" s="31" t="inlineStr"/>
      <c r="G18" s="19">
        <f>IF(D18="","",IF(F18&lt;&gt;"",F18*D18,E18*D18))</f>
        <v/>
      </c>
      <c r="H18" s="13" t="inlineStr"/>
    </row>
    <row r="19">
      <c r="A19" s="13" t="inlineStr"/>
      <c r="B19" s="13" t="inlineStr"/>
      <c r="C19" s="18">
        <f>IF(B19="","",IFERROR(VLOOKUP(B19,'Parts Master'!$A:$H,2,FALSE),""))</f>
        <v/>
      </c>
      <c r="D19" s="13" t="inlineStr"/>
      <c r="E19" s="19">
        <f>IF(B19="","",IFERROR(VLOOKUP(B19,'Parts Master'!$A:$H,4,FALSE),0))</f>
        <v/>
      </c>
      <c r="F19" s="31" t="inlineStr"/>
      <c r="G19" s="19">
        <f>IF(D19="","",IF(F19&lt;&gt;"",F19*D19,E19*D19))</f>
        <v/>
      </c>
      <c r="H19" s="13" t="inlineStr"/>
    </row>
    <row r="20">
      <c r="A20" s="13" t="inlineStr"/>
      <c r="B20" s="13" t="inlineStr"/>
      <c r="C20" s="18">
        <f>IF(B20="","",IFERROR(VLOOKUP(B20,'Parts Master'!$A:$H,2,FALSE),""))</f>
        <v/>
      </c>
      <c r="D20" s="13" t="inlineStr"/>
      <c r="E20" s="19">
        <f>IF(B20="","",IFERROR(VLOOKUP(B20,'Parts Master'!$A:$H,4,FALSE),0))</f>
        <v/>
      </c>
      <c r="F20" s="31" t="inlineStr"/>
      <c r="G20" s="19">
        <f>IF(D20="","",IF(F20&lt;&gt;"",F20*D20,E20*D20))</f>
        <v/>
      </c>
      <c r="H20" s="13" t="inlineStr"/>
    </row>
    <row r="21">
      <c r="A21" s="13" t="inlineStr"/>
      <c r="B21" s="13" t="inlineStr"/>
      <c r="C21" s="18">
        <f>IF(B21="","",IFERROR(VLOOKUP(B21,'Parts Master'!$A:$H,2,FALSE),""))</f>
        <v/>
      </c>
      <c r="D21" s="13" t="inlineStr"/>
      <c r="E21" s="19">
        <f>IF(B21="","",IFERROR(VLOOKUP(B21,'Parts Master'!$A:$H,4,FALSE),0))</f>
        <v/>
      </c>
      <c r="F21" s="31" t="inlineStr"/>
      <c r="G21" s="19">
        <f>IF(D21="","",IF(F21&lt;&gt;"",F21*D21,E21*D21))</f>
        <v/>
      </c>
      <c r="H21" s="13" t="inlineStr"/>
    </row>
    <row r="22">
      <c r="A22" s="13" t="inlineStr"/>
      <c r="B22" s="13" t="inlineStr"/>
      <c r="C22" s="18">
        <f>IF(B22="","",IFERROR(VLOOKUP(B22,'Parts Master'!$A:$H,2,FALSE),""))</f>
        <v/>
      </c>
      <c r="D22" s="13" t="inlineStr"/>
      <c r="E22" s="19">
        <f>IF(B22="","",IFERROR(VLOOKUP(B22,'Parts Master'!$A:$H,4,FALSE),0))</f>
        <v/>
      </c>
      <c r="F22" s="31" t="inlineStr"/>
      <c r="G22" s="19">
        <f>IF(D22="","",IF(F22&lt;&gt;"",F22*D22,E22*D22))</f>
        <v/>
      </c>
      <c r="H22" s="13" t="inlineStr"/>
    </row>
    <row r="23">
      <c r="A23" s="13" t="inlineStr"/>
      <c r="B23" s="13" t="inlineStr"/>
      <c r="C23" s="18">
        <f>IF(B23="","",IFERROR(VLOOKUP(B23,'Parts Master'!$A:$H,2,FALSE),""))</f>
        <v/>
      </c>
      <c r="D23" s="13" t="inlineStr"/>
      <c r="E23" s="19">
        <f>IF(B23="","",IFERROR(VLOOKUP(B23,'Parts Master'!$A:$H,4,FALSE),0))</f>
        <v/>
      </c>
      <c r="F23" s="31" t="inlineStr"/>
      <c r="G23" s="19">
        <f>IF(D23="","",IF(F23&lt;&gt;"",F23*D23,E23*D23))</f>
        <v/>
      </c>
      <c r="H23" s="13" t="inlineStr"/>
    </row>
    <row r="24">
      <c r="A24" s="13" t="inlineStr"/>
      <c r="B24" s="13" t="inlineStr"/>
      <c r="C24" s="18">
        <f>IF(B24="","",IFERROR(VLOOKUP(B24,'Parts Master'!$A:$H,2,FALSE),""))</f>
        <v/>
      </c>
      <c r="D24" s="13" t="inlineStr"/>
      <c r="E24" s="19">
        <f>IF(B24="","",IFERROR(VLOOKUP(B24,'Parts Master'!$A:$H,4,FALSE),0))</f>
        <v/>
      </c>
      <c r="F24" s="31" t="inlineStr"/>
      <c r="G24" s="19">
        <f>IF(D24="","",IF(F24&lt;&gt;"",F24*D24,E24*D24))</f>
        <v/>
      </c>
      <c r="H24" s="13" t="inlineStr"/>
    </row>
    <row r="25">
      <c r="A25" s="13" t="inlineStr"/>
      <c r="B25" s="13" t="inlineStr"/>
      <c r="C25" s="18">
        <f>IF(B25="","",IFERROR(VLOOKUP(B25,'Parts Master'!$A:$H,2,FALSE),""))</f>
        <v/>
      </c>
      <c r="D25" s="13" t="inlineStr"/>
      <c r="E25" s="19">
        <f>IF(B25="","",IFERROR(VLOOKUP(B25,'Parts Master'!$A:$H,4,FALSE),0))</f>
        <v/>
      </c>
      <c r="F25" s="31" t="inlineStr"/>
      <c r="G25" s="19">
        <f>IF(D25="","",IF(F25&lt;&gt;"",F25*D25,E25*D25))</f>
        <v/>
      </c>
      <c r="H25" s="13" t="inlineStr"/>
    </row>
    <row r="26">
      <c r="A26" s="13" t="inlineStr"/>
      <c r="B26" s="13" t="inlineStr"/>
      <c r="C26" s="18">
        <f>IF(B26="","",IFERROR(VLOOKUP(B26,'Parts Master'!$A:$H,2,FALSE),""))</f>
        <v/>
      </c>
      <c r="D26" s="13" t="inlineStr"/>
      <c r="E26" s="19">
        <f>IF(B26="","",IFERROR(VLOOKUP(B26,'Parts Master'!$A:$H,4,FALSE),0))</f>
        <v/>
      </c>
      <c r="F26" s="31" t="inlineStr"/>
      <c r="G26" s="19">
        <f>IF(D26="","",IF(F26&lt;&gt;"",F26*D26,E26*D26))</f>
        <v/>
      </c>
      <c r="H26" s="13" t="inlineStr"/>
    </row>
    <row r="27">
      <c r="A27" s="13" t="inlineStr"/>
      <c r="B27" s="13" t="inlineStr"/>
      <c r="C27" s="18">
        <f>IF(B27="","",IFERROR(VLOOKUP(B27,'Parts Master'!$A:$H,2,FALSE),""))</f>
        <v/>
      </c>
      <c r="D27" s="13" t="inlineStr"/>
      <c r="E27" s="19">
        <f>IF(B27="","",IFERROR(VLOOKUP(B27,'Parts Master'!$A:$H,4,FALSE),0))</f>
        <v/>
      </c>
      <c r="F27" s="31" t="inlineStr"/>
      <c r="G27" s="19">
        <f>IF(D27="","",IF(F27&lt;&gt;"",F27*D27,E27*D27))</f>
        <v/>
      </c>
      <c r="H27" s="13" t="inlineStr"/>
    </row>
    <row r="29">
      <c r="F29" t="inlineStr">
        <is>
          <t>Labor Total:</t>
        </is>
      </c>
      <c r="G29" s="25">
        <f>SUM(F11:F14)</f>
        <v/>
      </c>
    </row>
    <row r="30">
      <c r="F30" t="inlineStr">
        <is>
          <t>Parts Total:</t>
        </is>
      </c>
      <c r="G30" s="25">
        <f>SUM(G18:G27)</f>
        <v/>
      </c>
    </row>
    <row r="31">
      <c r="F31" t="inlineStr">
        <is>
          <t>GRAND TOTAL:</t>
        </is>
      </c>
      <c r="G31" s="26">
        <f>G29+G30</f>
        <v/>
      </c>
    </row>
    <row r="33">
      <c r="B33" t="inlineStr">
        <is>
          <t>Notes:</t>
        </is>
      </c>
    </row>
    <row r="34">
      <c r="B34" s="13" t="inlineStr"/>
    </row>
    <row r="35"/>
  </sheetData>
  <mergeCells count="4">
    <mergeCell ref="B1:I1"/>
    <mergeCell ref="B2:I2"/>
    <mergeCell ref="C6:E6"/>
    <mergeCell ref="B34:H35"/>
  </mergeCells>
  <dataValidations count="2">
    <dataValidation sqref="H6" showDropDown="0" showInputMessage="0" showErrorMessage="0" allowBlank="1" type="list">
      <formula1>"Standard,Tier 1,Tier 2,Tier 3"</formula1>
    </dataValidation>
    <dataValidation sqref="C7 E7 G7" showDropDown="0" showInputMessage="0" showErrorMessage="0" allowBlank="1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8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1">
      <c r="A1" s="8" t="inlineStr">
        <is>
          <t>QUALITY AIRCRAFT ACCESSORIES</t>
        </is>
      </c>
    </row>
    <row r="2" ht="30" customHeight="1">
      <c r="A2" s="9" t="inlineStr">
        <is>
          <t>EXCHANGE / INVENTORY SALE QUOTE</t>
        </is>
      </c>
    </row>
    <row r="3">
      <c r="A3" s="10" t="inlineStr">
        <is>
          <t>A Hartzell Engine Technologies Company</t>
        </is>
      </c>
    </row>
    <row r="5">
      <c r="A5" t="inlineStr">
        <is>
          <t>Quote #:</t>
        </is>
      </c>
      <c r="B5" s="11">
        <f>Config!B2&amp;"-"&amp;TEXT(Config!B3,"00000")</f>
        <v/>
      </c>
      <c r="D5" t="inlineStr">
        <is>
          <t>Date:</t>
        </is>
      </c>
      <c r="E5" t="inlineStr">
        <is>
          <t>01/09/2026</t>
        </is>
      </c>
    </row>
    <row r="6">
      <c r="A6" t="inlineStr">
        <is>
          <t>Customer Email:</t>
        </is>
      </c>
      <c r="B6" s="13" t="inlineStr"/>
      <c r="C6" s="14" t="n"/>
      <c r="D6" s="15" t="n"/>
      <c r="F6" t="inlineStr">
        <is>
          <t>Tier:</t>
        </is>
      </c>
      <c r="G6" s="16" t="inlineStr">
        <is>
          <t>Standard</t>
        </is>
      </c>
    </row>
    <row r="7">
      <c r="A7" t="inlineStr">
        <is>
          <t>Approval?</t>
        </is>
      </c>
      <c r="B7" s="16" t="inlineStr">
        <is>
          <t>No</t>
        </is>
      </c>
      <c r="C7" t="inlineStr">
        <is>
          <t>Shipping?</t>
        </is>
      </c>
      <c r="D7" s="16" t="inlineStr">
        <is>
          <t>No</t>
        </is>
      </c>
      <c r="E7" t="inlineStr">
        <is>
          <t>Payment?</t>
        </is>
      </c>
      <c r="F7" s="16" t="inlineStr">
        <is>
          <t>No</t>
        </is>
      </c>
      <c r="G7" t="inlineStr">
        <is>
          <t>Core In Hand?</t>
        </is>
      </c>
      <c r="H7" s="16" t="inlineStr">
        <is>
          <t>No</t>
        </is>
      </c>
    </row>
    <row r="10">
      <c r="A10" s="30" t="inlineStr">
        <is>
          <t>Part #</t>
        </is>
      </c>
      <c r="B10" s="30" t="inlineStr">
        <is>
          <t>Description</t>
        </is>
      </c>
      <c r="C10" s="30" t="inlineStr">
        <is>
          <t>Cond</t>
        </is>
      </c>
      <c r="D10" s="30" t="inlineStr">
        <is>
          <t>Qty</t>
        </is>
      </c>
      <c r="E10" s="30" t="inlineStr">
        <is>
          <t>List Price</t>
        </is>
      </c>
      <c r="F10" s="30" t="inlineStr">
        <is>
          <t>Your Price</t>
        </is>
      </c>
      <c r="G10" s="30" t="inlineStr">
        <is>
          <t>Extended</t>
        </is>
      </c>
      <c r="H10" s="30" t="inlineStr">
        <is>
          <t>Core Charge</t>
        </is>
      </c>
      <c r="I10" s="30" t="inlineStr">
        <is>
          <t>Stock</t>
        </is>
      </c>
      <c r="J10" s="30" t="inlineStr">
        <is>
          <t>Lead Time</t>
        </is>
      </c>
    </row>
    <row r="11">
      <c r="A11" s="13" t="inlineStr"/>
      <c r="B11" s="18">
        <f>IF(A11="","",IFERROR(VLOOKUP(A11,'Parts Master'!$A:$H,2,FALSE),"Not Found"))</f>
        <v/>
      </c>
      <c r="C11" s="18">
        <f>IF(A11="","",IFERROR(VLOOKUP(A11,'Parts Master'!$A:$H,3,FALSE),""))</f>
        <v/>
      </c>
      <c r="D11" s="13" t="inlineStr"/>
      <c r="E11" s="19">
        <f>IF(A11="","",IFERROR(VLOOKUP(A11,'Parts Master'!$A:$H,4,FALSE),0))</f>
        <v/>
      </c>
      <c r="F11" s="19">
        <f>IF(E11="","",E11*(1-VLOOKUP($G$6,Config!$A$10:$B$13,2,FALSE)))</f>
        <v/>
      </c>
      <c r="G11" s="19">
        <f>IF(D11="","",F11*D11)</f>
        <v/>
      </c>
      <c r="H11" s="19">
        <f>IF(A11="","",IF($H$7="Yes",0,IFERROR(VLOOKUP(A11,'Parts Master'!$A:$H,5,FALSE),0)*D11))</f>
        <v/>
      </c>
      <c r="I11" s="18">
        <f>IF(A11="","",IFERROR(VLOOKUP(A11,'Parts Master'!$A:$H,6,FALSE),""))</f>
        <v/>
      </c>
      <c r="J11" s="18">
        <f>IF(A11="","",IFERROR(VLOOKUP(A11,'Parts Master'!$A:$H,7,FALSE),""))</f>
        <v/>
      </c>
    </row>
    <row r="12">
      <c r="A12" s="13" t="inlineStr"/>
      <c r="B12" s="18">
        <f>IF(A12="","",IFERROR(VLOOKUP(A12,'Parts Master'!$A:$H,2,FALSE),"Not Found"))</f>
        <v/>
      </c>
      <c r="C12" s="18">
        <f>IF(A12="","",IFERROR(VLOOKUP(A12,'Parts Master'!$A:$H,3,FALSE),""))</f>
        <v/>
      </c>
      <c r="D12" s="13" t="inlineStr"/>
      <c r="E12" s="19">
        <f>IF(A12="","",IFERROR(VLOOKUP(A12,'Parts Master'!$A:$H,4,FALSE),0))</f>
        <v/>
      </c>
      <c r="F12" s="19">
        <f>IF(E12="","",E12*(1-VLOOKUP($G$6,Config!$A$10:$B$13,2,FALSE)))</f>
        <v/>
      </c>
      <c r="G12" s="19">
        <f>IF(D12="","",F12*D12)</f>
        <v/>
      </c>
      <c r="H12" s="19">
        <f>IF(A12="","",IF($H$7="Yes",0,IFERROR(VLOOKUP(A12,'Parts Master'!$A:$H,5,FALSE),0)*D12))</f>
        <v/>
      </c>
      <c r="I12" s="18">
        <f>IF(A12="","",IFERROR(VLOOKUP(A12,'Parts Master'!$A:$H,6,FALSE),""))</f>
        <v/>
      </c>
      <c r="J12" s="18">
        <f>IF(A12="","",IFERROR(VLOOKUP(A12,'Parts Master'!$A:$H,7,FALSE),""))</f>
        <v/>
      </c>
    </row>
    <row r="13">
      <c r="A13" s="13" t="inlineStr"/>
      <c r="B13" s="18">
        <f>IF(A13="","",IFERROR(VLOOKUP(A13,'Parts Master'!$A:$H,2,FALSE),"Not Found"))</f>
        <v/>
      </c>
      <c r="C13" s="18">
        <f>IF(A13="","",IFERROR(VLOOKUP(A13,'Parts Master'!$A:$H,3,FALSE),""))</f>
        <v/>
      </c>
      <c r="D13" s="13" t="inlineStr"/>
      <c r="E13" s="19">
        <f>IF(A13="","",IFERROR(VLOOKUP(A13,'Parts Master'!$A:$H,4,FALSE),0))</f>
        <v/>
      </c>
      <c r="F13" s="19">
        <f>IF(E13="","",E13*(1-VLOOKUP($G$6,Config!$A$10:$B$13,2,FALSE)))</f>
        <v/>
      </c>
      <c r="G13" s="19">
        <f>IF(D13="","",F13*D13)</f>
        <v/>
      </c>
      <c r="H13" s="19">
        <f>IF(A13="","",IF($H$7="Yes",0,IFERROR(VLOOKUP(A13,'Parts Master'!$A:$H,5,FALSE),0)*D13))</f>
        <v/>
      </c>
      <c r="I13" s="18">
        <f>IF(A13="","",IFERROR(VLOOKUP(A13,'Parts Master'!$A:$H,6,FALSE),""))</f>
        <v/>
      </c>
      <c r="J13" s="18">
        <f>IF(A13="","",IFERROR(VLOOKUP(A13,'Parts Master'!$A:$H,7,FALSE),""))</f>
        <v/>
      </c>
    </row>
    <row r="14">
      <c r="A14" s="13" t="inlineStr"/>
      <c r="B14" s="18">
        <f>IF(A14="","",IFERROR(VLOOKUP(A14,'Parts Master'!$A:$H,2,FALSE),"Not Found"))</f>
        <v/>
      </c>
      <c r="C14" s="18">
        <f>IF(A14="","",IFERROR(VLOOKUP(A14,'Parts Master'!$A:$H,3,FALSE),""))</f>
        <v/>
      </c>
      <c r="D14" s="13" t="inlineStr"/>
      <c r="E14" s="19">
        <f>IF(A14="","",IFERROR(VLOOKUP(A14,'Parts Master'!$A:$H,4,FALSE),0))</f>
        <v/>
      </c>
      <c r="F14" s="19">
        <f>IF(E14="","",E14*(1-VLOOKUP($G$6,Config!$A$10:$B$13,2,FALSE)))</f>
        <v/>
      </c>
      <c r="G14" s="19">
        <f>IF(D14="","",F14*D14)</f>
        <v/>
      </c>
      <c r="H14" s="19">
        <f>IF(A14="","",IF($H$7="Yes",0,IFERROR(VLOOKUP(A14,'Parts Master'!$A:$H,5,FALSE),0)*D14))</f>
        <v/>
      </c>
      <c r="I14" s="18">
        <f>IF(A14="","",IFERROR(VLOOKUP(A14,'Parts Master'!$A:$H,6,FALSE),""))</f>
        <v/>
      </c>
      <c r="J14" s="18">
        <f>IF(A14="","",IFERROR(VLOOKUP(A14,'Parts Master'!$A:$H,7,FALSE),""))</f>
        <v/>
      </c>
    </row>
    <row r="15">
      <c r="A15" s="13" t="inlineStr"/>
      <c r="B15" s="18">
        <f>IF(A15="","",IFERROR(VLOOKUP(A15,'Parts Master'!$A:$H,2,FALSE),"Not Found"))</f>
        <v/>
      </c>
      <c r="C15" s="18">
        <f>IF(A15="","",IFERROR(VLOOKUP(A15,'Parts Master'!$A:$H,3,FALSE),""))</f>
        <v/>
      </c>
      <c r="D15" s="13" t="inlineStr"/>
      <c r="E15" s="19">
        <f>IF(A15="","",IFERROR(VLOOKUP(A15,'Parts Master'!$A:$H,4,FALSE),0))</f>
        <v/>
      </c>
      <c r="F15" s="19">
        <f>IF(E15="","",E15*(1-VLOOKUP($G$6,Config!$A$10:$B$13,2,FALSE)))</f>
        <v/>
      </c>
      <c r="G15" s="19">
        <f>IF(D15="","",F15*D15)</f>
        <v/>
      </c>
      <c r="H15" s="19">
        <f>IF(A15="","",IF($H$7="Yes",0,IFERROR(VLOOKUP(A15,'Parts Master'!$A:$H,5,FALSE),0)*D15))</f>
        <v/>
      </c>
      <c r="I15" s="18">
        <f>IF(A15="","",IFERROR(VLOOKUP(A15,'Parts Master'!$A:$H,6,FALSE),""))</f>
        <v/>
      </c>
      <c r="J15" s="18">
        <f>IF(A15="","",IFERROR(VLOOKUP(A15,'Parts Master'!$A:$H,7,FALSE),""))</f>
        <v/>
      </c>
    </row>
    <row r="16">
      <c r="A16" s="13" t="inlineStr"/>
      <c r="B16" s="18">
        <f>IF(A16="","",IFERROR(VLOOKUP(A16,'Parts Master'!$A:$H,2,FALSE),"Not Found"))</f>
        <v/>
      </c>
      <c r="C16" s="18">
        <f>IF(A16="","",IFERROR(VLOOKUP(A16,'Parts Master'!$A:$H,3,FALSE),""))</f>
        <v/>
      </c>
      <c r="D16" s="13" t="inlineStr"/>
      <c r="E16" s="19">
        <f>IF(A16="","",IFERROR(VLOOKUP(A16,'Parts Master'!$A:$H,4,FALSE),0))</f>
        <v/>
      </c>
      <c r="F16" s="19">
        <f>IF(E16="","",E16*(1-VLOOKUP($G$6,Config!$A$10:$B$13,2,FALSE)))</f>
        <v/>
      </c>
      <c r="G16" s="19">
        <f>IF(D16="","",F16*D16)</f>
        <v/>
      </c>
      <c r="H16" s="19">
        <f>IF(A16="","",IF($H$7="Yes",0,IFERROR(VLOOKUP(A16,'Parts Master'!$A:$H,5,FALSE),0)*D16))</f>
        <v/>
      </c>
      <c r="I16" s="18">
        <f>IF(A16="","",IFERROR(VLOOKUP(A16,'Parts Master'!$A:$H,6,FALSE),""))</f>
        <v/>
      </c>
      <c r="J16" s="18">
        <f>IF(A16="","",IFERROR(VLOOKUP(A16,'Parts Master'!$A:$H,7,FALSE),""))</f>
        <v/>
      </c>
    </row>
    <row r="17">
      <c r="A17" s="13" t="inlineStr"/>
      <c r="B17" s="18">
        <f>IF(A17="","",IFERROR(VLOOKUP(A17,'Parts Master'!$A:$H,2,FALSE),"Not Found"))</f>
        <v/>
      </c>
      <c r="C17" s="18">
        <f>IF(A17="","",IFERROR(VLOOKUP(A17,'Parts Master'!$A:$H,3,FALSE),""))</f>
        <v/>
      </c>
      <c r="D17" s="13" t="inlineStr"/>
      <c r="E17" s="19">
        <f>IF(A17="","",IFERROR(VLOOKUP(A17,'Parts Master'!$A:$H,4,FALSE),0))</f>
        <v/>
      </c>
      <c r="F17" s="19">
        <f>IF(E17="","",E17*(1-VLOOKUP($G$6,Config!$A$10:$B$13,2,FALSE)))</f>
        <v/>
      </c>
      <c r="G17" s="19">
        <f>IF(D17="","",F17*D17)</f>
        <v/>
      </c>
      <c r="H17" s="19">
        <f>IF(A17="","",IF($H$7="Yes",0,IFERROR(VLOOKUP(A17,'Parts Master'!$A:$H,5,FALSE),0)*D17))</f>
        <v/>
      </c>
      <c r="I17" s="18">
        <f>IF(A17="","",IFERROR(VLOOKUP(A17,'Parts Master'!$A:$H,6,FALSE),""))</f>
        <v/>
      </c>
      <c r="J17" s="18">
        <f>IF(A17="","",IFERROR(VLOOKUP(A17,'Parts Master'!$A:$H,7,FALSE),""))</f>
        <v/>
      </c>
    </row>
    <row r="18">
      <c r="A18" s="13" t="inlineStr"/>
      <c r="B18" s="18">
        <f>IF(A18="","",IFERROR(VLOOKUP(A18,'Parts Master'!$A:$H,2,FALSE),"Not Found"))</f>
        <v/>
      </c>
      <c r="C18" s="18">
        <f>IF(A18="","",IFERROR(VLOOKUP(A18,'Parts Master'!$A:$H,3,FALSE),""))</f>
        <v/>
      </c>
      <c r="D18" s="13" t="inlineStr"/>
      <c r="E18" s="19">
        <f>IF(A18="","",IFERROR(VLOOKUP(A18,'Parts Master'!$A:$H,4,FALSE),0))</f>
        <v/>
      </c>
      <c r="F18" s="19">
        <f>IF(E18="","",E18*(1-VLOOKUP($G$6,Config!$A$10:$B$13,2,FALSE)))</f>
        <v/>
      </c>
      <c r="G18" s="19">
        <f>IF(D18="","",F18*D18)</f>
        <v/>
      </c>
      <c r="H18" s="19">
        <f>IF(A18="","",IF($H$7="Yes",0,IFERROR(VLOOKUP(A18,'Parts Master'!$A:$H,5,FALSE),0)*D18))</f>
        <v/>
      </c>
      <c r="I18" s="18">
        <f>IF(A18="","",IFERROR(VLOOKUP(A18,'Parts Master'!$A:$H,6,FALSE),""))</f>
        <v/>
      </c>
      <c r="J18" s="18">
        <f>IF(A18="","",IFERROR(VLOOKUP(A18,'Parts Master'!$A:$H,7,FALSE),""))</f>
        <v/>
      </c>
    </row>
    <row r="19">
      <c r="A19" s="13" t="inlineStr"/>
      <c r="B19" s="18">
        <f>IF(A19="","",IFERROR(VLOOKUP(A19,'Parts Master'!$A:$H,2,FALSE),"Not Found"))</f>
        <v/>
      </c>
      <c r="C19" s="18">
        <f>IF(A19="","",IFERROR(VLOOKUP(A19,'Parts Master'!$A:$H,3,FALSE),""))</f>
        <v/>
      </c>
      <c r="D19" s="13" t="inlineStr"/>
      <c r="E19" s="19">
        <f>IF(A19="","",IFERROR(VLOOKUP(A19,'Parts Master'!$A:$H,4,FALSE),0))</f>
        <v/>
      </c>
      <c r="F19" s="19">
        <f>IF(E19="","",E19*(1-VLOOKUP($G$6,Config!$A$10:$B$13,2,FALSE)))</f>
        <v/>
      </c>
      <c r="G19" s="19">
        <f>IF(D19="","",F19*D19)</f>
        <v/>
      </c>
      <c r="H19" s="19">
        <f>IF(A19="","",IF($H$7="Yes",0,IFERROR(VLOOKUP(A19,'Parts Master'!$A:$H,5,FALSE),0)*D19))</f>
        <v/>
      </c>
      <c r="I19" s="18">
        <f>IF(A19="","",IFERROR(VLOOKUP(A19,'Parts Master'!$A:$H,6,FALSE),""))</f>
        <v/>
      </c>
      <c r="J19" s="18">
        <f>IF(A19="","",IFERROR(VLOOKUP(A19,'Parts Master'!$A:$H,7,FALSE),""))</f>
        <v/>
      </c>
    </row>
    <row r="20">
      <c r="A20" s="13" t="inlineStr"/>
      <c r="B20" s="18">
        <f>IF(A20="","",IFERROR(VLOOKUP(A20,'Parts Master'!$A:$H,2,FALSE),"Not Found"))</f>
        <v/>
      </c>
      <c r="C20" s="18">
        <f>IF(A20="","",IFERROR(VLOOKUP(A20,'Parts Master'!$A:$H,3,FALSE),""))</f>
        <v/>
      </c>
      <c r="D20" s="13" t="inlineStr"/>
      <c r="E20" s="19">
        <f>IF(A20="","",IFERROR(VLOOKUP(A20,'Parts Master'!$A:$H,4,FALSE),0))</f>
        <v/>
      </c>
      <c r="F20" s="19">
        <f>IF(E20="","",E20*(1-VLOOKUP($G$6,Config!$A$10:$B$13,2,FALSE)))</f>
        <v/>
      </c>
      <c r="G20" s="19">
        <f>IF(D20="","",F20*D20)</f>
        <v/>
      </c>
      <c r="H20" s="19">
        <f>IF(A20="","",IF($H$7="Yes",0,IFERROR(VLOOKUP(A20,'Parts Master'!$A:$H,5,FALSE),0)*D20))</f>
        <v/>
      </c>
      <c r="I20" s="18">
        <f>IF(A20="","",IFERROR(VLOOKUP(A20,'Parts Master'!$A:$H,6,FALSE),""))</f>
        <v/>
      </c>
      <c r="J20" s="18">
        <f>IF(A20="","",IFERROR(VLOOKUP(A20,'Parts Master'!$A:$H,7,FALSE),""))</f>
        <v/>
      </c>
    </row>
    <row r="21">
      <c r="A21" s="13" t="inlineStr"/>
      <c r="B21" s="18">
        <f>IF(A21="","",IFERROR(VLOOKUP(A21,'Parts Master'!$A:$H,2,FALSE),"Not Found"))</f>
        <v/>
      </c>
      <c r="C21" s="18">
        <f>IF(A21="","",IFERROR(VLOOKUP(A21,'Parts Master'!$A:$H,3,FALSE),""))</f>
        <v/>
      </c>
      <c r="D21" s="13" t="inlineStr"/>
      <c r="E21" s="19">
        <f>IF(A21="","",IFERROR(VLOOKUP(A21,'Parts Master'!$A:$H,4,FALSE),0))</f>
        <v/>
      </c>
      <c r="F21" s="19">
        <f>IF(E21="","",E21*(1-VLOOKUP($G$6,Config!$A$10:$B$13,2,FALSE)))</f>
        <v/>
      </c>
      <c r="G21" s="19">
        <f>IF(D21="","",F21*D21)</f>
        <v/>
      </c>
      <c r="H21" s="19">
        <f>IF(A21="","",IF($H$7="Yes",0,IFERROR(VLOOKUP(A21,'Parts Master'!$A:$H,5,FALSE),0)*D21))</f>
        <v/>
      </c>
      <c r="I21" s="18">
        <f>IF(A21="","",IFERROR(VLOOKUP(A21,'Parts Master'!$A:$H,6,FALSE),""))</f>
        <v/>
      </c>
      <c r="J21" s="18">
        <f>IF(A21="","",IFERROR(VLOOKUP(A21,'Parts Master'!$A:$H,7,FALSE),""))</f>
        <v/>
      </c>
    </row>
    <row r="22">
      <c r="A22" s="13" t="inlineStr"/>
      <c r="B22" s="18">
        <f>IF(A22="","",IFERROR(VLOOKUP(A22,'Parts Master'!$A:$H,2,FALSE),"Not Found"))</f>
        <v/>
      </c>
      <c r="C22" s="18">
        <f>IF(A22="","",IFERROR(VLOOKUP(A22,'Parts Master'!$A:$H,3,FALSE),""))</f>
        <v/>
      </c>
      <c r="D22" s="13" t="inlineStr"/>
      <c r="E22" s="19">
        <f>IF(A22="","",IFERROR(VLOOKUP(A22,'Parts Master'!$A:$H,4,FALSE),0))</f>
        <v/>
      </c>
      <c r="F22" s="19">
        <f>IF(E22="","",E22*(1-VLOOKUP($G$6,Config!$A$10:$B$13,2,FALSE)))</f>
        <v/>
      </c>
      <c r="G22" s="19">
        <f>IF(D22="","",F22*D22)</f>
        <v/>
      </c>
      <c r="H22" s="19">
        <f>IF(A22="","",IF($H$7="Yes",0,IFERROR(VLOOKUP(A22,'Parts Master'!$A:$H,5,FALSE),0)*D22))</f>
        <v/>
      </c>
      <c r="I22" s="18">
        <f>IF(A22="","",IFERROR(VLOOKUP(A22,'Parts Master'!$A:$H,6,FALSE),""))</f>
        <v/>
      </c>
      <c r="J22" s="18">
        <f>IF(A22="","",IFERROR(VLOOKUP(A22,'Parts Master'!$A:$H,7,FALSE),""))</f>
        <v/>
      </c>
    </row>
    <row r="24">
      <c r="A24" t="inlineStr">
        <is>
          <t>Subtotal:</t>
        </is>
      </c>
      <c r="B24" s="25">
        <f>SUM(G11:G22)</f>
        <v/>
      </c>
      <c r="C24" t="inlineStr">
        <is>
          <t>Core Total:</t>
        </is>
      </c>
      <c r="D24" s="24">
        <f>SUM(H11:H22)</f>
        <v/>
      </c>
      <c r="F24" t="inlineStr">
        <is>
          <t>Your Savings:</t>
        </is>
      </c>
      <c r="G24" s="33">
        <f>SUM(E11:E22)-SUM(F11:F22)</f>
        <v/>
      </c>
    </row>
    <row r="25">
      <c r="D25" t="inlineStr">
        <is>
          <t>GRAND TOTAL:</t>
        </is>
      </c>
      <c r="E25" s="26">
        <f>B24+IF(H7="Yes",0,D24)</f>
        <v/>
      </c>
      <c r="F25" s="27" t="n"/>
    </row>
    <row r="27">
      <c r="A27" t="inlineStr">
        <is>
          <t>Notes:</t>
        </is>
      </c>
    </row>
    <row r="28">
      <c r="A28" s="13" t="inlineStr"/>
    </row>
    <row r="29"/>
  </sheetData>
  <mergeCells count="5">
    <mergeCell ref="A1:J1"/>
    <mergeCell ref="E25:F25"/>
    <mergeCell ref="A28:J29"/>
    <mergeCell ref="A2:J2"/>
    <mergeCell ref="B6:D6"/>
  </mergeCells>
  <dataValidations count="2">
    <dataValidation sqref="G6" showDropDown="0" showInputMessage="0" showErrorMessage="0" allowBlank="1" type="list">
      <formula1>"Standard,Tier 1,Tier 2,Tier 3"</formula1>
    </dataValidation>
    <dataValidation sqref="B7 D7 F7 H7" showDropDown="0" showInputMessage="0" showErrorMessage="0" allowBlank="1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8" customWidth="1" min="3" max="3"/>
    <col width="12" customWidth="1" min="4" max="4"/>
    <col width="12" customWidth="1" min="5" max="5"/>
    <col width="8" customWidth="1" min="6" max="6"/>
    <col width="12" customWidth="1" min="7" max="7"/>
    <col width="30" customWidth="1" min="8" max="8"/>
  </cols>
  <sheetData>
    <row r="1">
      <c r="A1" s="34" t="inlineStr">
        <is>
          <t>Part Number</t>
        </is>
      </c>
      <c r="B1" s="34" t="inlineStr">
        <is>
          <t>Description</t>
        </is>
      </c>
      <c r="C1" s="34" t="inlineStr">
        <is>
          <t>Cond</t>
        </is>
      </c>
      <c r="D1" s="34" t="inlineStr">
        <is>
          <t>List Price</t>
        </is>
      </c>
      <c r="E1" s="34" t="inlineStr">
        <is>
          <t>Core Charge</t>
        </is>
      </c>
      <c r="F1" s="34" t="inlineStr">
        <is>
          <t>Stock</t>
        </is>
      </c>
      <c r="G1" s="34" t="inlineStr">
        <is>
          <t>Lead Time</t>
        </is>
      </c>
      <c r="H1" s="34" t="inlineStr">
        <is>
          <t>Notes</t>
        </is>
      </c>
    </row>
    <row r="2">
      <c r="A2" s="18" t="inlineStr">
        <is>
          <t>10-382320</t>
        </is>
      </c>
      <c r="B2" s="18" t="inlineStr">
        <is>
          <t>S-20/200 Magneto</t>
        </is>
      </c>
      <c r="C2" s="18" t="inlineStr">
        <is>
          <t>Base</t>
        </is>
      </c>
      <c r="D2" s="19" t="n">
        <v>0</v>
      </c>
      <c r="E2" s="19" t="n">
        <v>0</v>
      </c>
      <c r="F2" s="18" t="n">
        <v>0</v>
      </c>
      <c r="G2" s="18" t="inlineStr"/>
      <c r="H2" s="18" t="inlineStr">
        <is>
          <t>Base reference</t>
        </is>
      </c>
    </row>
    <row r="3">
      <c r="A3" s="18" t="inlineStr">
        <is>
          <t>10-3823205H</t>
        </is>
      </c>
      <c r="B3" s="18" t="inlineStr">
        <is>
          <t>S-20/200 Magneto - 500HR Inspection</t>
        </is>
      </c>
      <c r="C3" s="18" t="inlineStr">
        <is>
          <t>Svc</t>
        </is>
      </c>
      <c r="D3" s="19" t="n">
        <v>575</v>
      </c>
      <c r="E3" s="19" t="n">
        <v>0</v>
      </c>
      <c r="F3" s="18" t="n">
        <v>0</v>
      </c>
      <c r="G3" s="18" t="inlineStr">
        <is>
          <t>3-5 Days</t>
        </is>
      </c>
      <c r="H3" s="18" t="inlineStr">
        <is>
          <t>500HR service price</t>
        </is>
      </c>
    </row>
    <row r="4">
      <c r="A4" s="18" t="inlineStr">
        <is>
          <t>10-382320-CO</t>
        </is>
      </c>
      <c r="B4" s="18" t="inlineStr">
        <is>
          <t>S-20/200 Magneto - Customer Overhaul</t>
        </is>
      </c>
      <c r="C4" s="18" t="inlineStr">
        <is>
          <t>CO</t>
        </is>
      </c>
      <c r="D4" s="19" t="n">
        <v>895</v>
      </c>
      <c r="E4" s="19" t="n">
        <v>0</v>
      </c>
      <c r="F4" s="18" t="n">
        <v>0</v>
      </c>
      <c r="G4" s="18" t="inlineStr">
        <is>
          <t>7-10 Days</t>
        </is>
      </c>
      <c r="H4" s="18" t="inlineStr">
        <is>
          <t>Cust prop overhaul</t>
        </is>
      </c>
    </row>
    <row r="5">
      <c r="A5" s="18" t="inlineStr">
        <is>
          <t>10-382320-OH</t>
        </is>
      </c>
      <c r="B5" s="18" t="inlineStr">
        <is>
          <t>S-20/200 Magneto - OH Exchange</t>
        </is>
      </c>
      <c r="C5" s="18" t="inlineStr">
        <is>
          <t>OH</t>
        </is>
      </c>
      <c r="D5" s="19" t="n">
        <v>2495</v>
      </c>
      <c r="E5" s="19" t="n">
        <v>1000</v>
      </c>
      <c r="F5" s="18" t="n">
        <v>5</v>
      </c>
      <c r="G5" s="18" t="inlineStr">
        <is>
          <t>5-7 Days</t>
        </is>
      </c>
      <c r="H5" s="18" t="inlineStr">
        <is>
          <t>Exchange unit</t>
        </is>
      </c>
    </row>
    <row r="6">
      <c r="A6" s="18" t="inlineStr">
        <is>
          <t>10-320680</t>
        </is>
      </c>
      <c r="B6" s="18" t="inlineStr">
        <is>
          <t>S-1200 Magneto</t>
        </is>
      </c>
      <c r="C6" s="18" t="inlineStr">
        <is>
          <t>Base</t>
        </is>
      </c>
      <c r="D6" s="19" t="n">
        <v>0</v>
      </c>
      <c r="E6" s="19" t="n">
        <v>0</v>
      </c>
      <c r="F6" s="18" t="n">
        <v>0</v>
      </c>
      <c r="G6" s="18" t="inlineStr"/>
      <c r="H6" s="18" t="inlineStr">
        <is>
          <t>Base reference</t>
        </is>
      </c>
    </row>
    <row r="7">
      <c r="A7" s="18" t="inlineStr">
        <is>
          <t>10-3206805H</t>
        </is>
      </c>
      <c r="B7" s="18" t="inlineStr">
        <is>
          <t>S-1200 Magneto - 500HR Inspection</t>
        </is>
      </c>
      <c r="C7" s="18" t="inlineStr">
        <is>
          <t>Svc</t>
        </is>
      </c>
      <c r="D7" s="19" t="n">
        <v>495</v>
      </c>
      <c r="E7" s="19" t="n">
        <v>0</v>
      </c>
      <c r="F7" s="18" t="n">
        <v>0</v>
      </c>
      <c r="G7" s="18" t="inlineStr">
        <is>
          <t>3-5 Days</t>
        </is>
      </c>
      <c r="H7" s="18" t="inlineStr">
        <is>
          <t>500HR service price</t>
        </is>
      </c>
    </row>
    <row r="8">
      <c r="A8" s="18" t="inlineStr">
        <is>
          <t>10-320680-CO</t>
        </is>
      </c>
      <c r="B8" s="18" t="inlineStr">
        <is>
          <t>S-1200 Magneto - Customer Overhaul</t>
        </is>
      </c>
      <c r="C8" s="18" t="inlineStr">
        <is>
          <t>CO</t>
        </is>
      </c>
      <c r="D8" s="19" t="n">
        <v>750</v>
      </c>
      <c r="E8" s="19" t="n">
        <v>0</v>
      </c>
      <c r="F8" s="18" t="n">
        <v>0</v>
      </c>
      <c r="G8" s="18" t="inlineStr">
        <is>
          <t>7-10 Days</t>
        </is>
      </c>
      <c r="H8" s="18" t="inlineStr">
        <is>
          <t>Cust prop overhaul</t>
        </is>
      </c>
    </row>
    <row r="9">
      <c r="A9" s="18" t="inlineStr">
        <is>
          <t>10-320680-OH</t>
        </is>
      </c>
      <c r="B9" s="18" t="inlineStr">
        <is>
          <t>S-1200 Magneto - OH Exchange</t>
        </is>
      </c>
      <c r="C9" s="18" t="inlineStr">
        <is>
          <t>OH</t>
        </is>
      </c>
      <c r="D9" s="19" t="n">
        <v>2095</v>
      </c>
      <c r="E9" s="19" t="n">
        <v>800</v>
      </c>
      <c r="F9" s="18" t="n">
        <v>3</v>
      </c>
      <c r="G9" s="18" t="inlineStr">
        <is>
          <t>5-7 Days</t>
        </is>
      </c>
      <c r="H9" s="18" t="inlineStr">
        <is>
          <t>Exchange unit</t>
        </is>
      </c>
    </row>
    <row r="10">
      <c r="A10" s="18" t="inlineStr">
        <is>
          <t>10-391088</t>
        </is>
      </c>
      <c r="B10" s="18" t="inlineStr">
        <is>
          <t>D-2000/D-3000 Magneto</t>
        </is>
      </c>
      <c r="C10" s="18" t="inlineStr">
        <is>
          <t>Base</t>
        </is>
      </c>
      <c r="D10" s="19" t="n">
        <v>0</v>
      </c>
      <c r="E10" s="19" t="n">
        <v>0</v>
      </c>
      <c r="F10" s="18" t="n">
        <v>0</v>
      </c>
      <c r="G10" s="18" t="inlineStr"/>
      <c r="H10" s="18" t="inlineStr">
        <is>
          <t>Base reference</t>
        </is>
      </c>
    </row>
    <row r="11">
      <c r="A11" s="18" t="inlineStr">
        <is>
          <t>10-3910885H</t>
        </is>
      </c>
      <c r="B11" s="18" t="inlineStr">
        <is>
          <t>D-2000/D-3000 - 500HR Inspection</t>
        </is>
      </c>
      <c r="C11" s="18" t="inlineStr">
        <is>
          <t>Svc</t>
        </is>
      </c>
      <c r="D11" s="19" t="n">
        <v>695</v>
      </c>
      <c r="E11" s="19" t="n">
        <v>0</v>
      </c>
      <c r="F11" s="18" t="n">
        <v>0</v>
      </c>
      <c r="G11" s="18" t="inlineStr">
        <is>
          <t>3-5 Days</t>
        </is>
      </c>
      <c r="H11" s="18" t="inlineStr">
        <is>
          <t>500HR service price</t>
        </is>
      </c>
    </row>
    <row r="12">
      <c r="A12" s="18" t="inlineStr">
        <is>
          <t>10-391088-CO</t>
        </is>
      </c>
      <c r="B12" s="18" t="inlineStr">
        <is>
          <t>D-2000/D-3000 - Customer Overhaul</t>
        </is>
      </c>
      <c r="C12" s="18" t="inlineStr">
        <is>
          <t>CO</t>
        </is>
      </c>
      <c r="D12" s="19" t="n">
        <v>1150</v>
      </c>
      <c r="E12" s="19" t="n">
        <v>0</v>
      </c>
      <c r="F12" s="18" t="n">
        <v>0</v>
      </c>
      <c r="G12" s="18" t="inlineStr">
        <is>
          <t>7-10 Days</t>
        </is>
      </c>
      <c r="H12" s="18" t="inlineStr">
        <is>
          <t>Cust prop overhaul</t>
        </is>
      </c>
    </row>
    <row r="13">
      <c r="A13" s="18" t="inlineStr">
        <is>
          <t>10-391088-OH</t>
        </is>
      </c>
      <c r="B13" s="18" t="inlineStr">
        <is>
          <t>D-2000/D-3000 - OH Exchange</t>
        </is>
      </c>
      <c r="C13" s="18" t="inlineStr">
        <is>
          <t>OH</t>
        </is>
      </c>
      <c r="D13" s="19" t="n">
        <v>2850</v>
      </c>
      <c r="E13" s="19" t="n">
        <v>1100</v>
      </c>
      <c r="F13" s="18" t="n">
        <v>2</v>
      </c>
      <c r="G13" s="18" t="inlineStr">
        <is>
          <t>5-7 Days</t>
        </is>
      </c>
      <c r="H13" s="18" t="inlineStr">
        <is>
          <t>Exchange unit</t>
        </is>
      </c>
    </row>
    <row r="14">
      <c r="A14" s="18" t="inlineStr">
        <is>
          <t>10-163020</t>
        </is>
      </c>
      <c r="B14" s="18" t="inlineStr">
        <is>
          <t>Bendix S-20 Magneto</t>
        </is>
      </c>
      <c r="C14" s="18" t="inlineStr">
        <is>
          <t>Base</t>
        </is>
      </c>
      <c r="D14" s="19" t="n">
        <v>0</v>
      </c>
      <c r="E14" s="19" t="n">
        <v>0</v>
      </c>
      <c r="F14" s="18" t="n">
        <v>0</v>
      </c>
      <c r="G14" s="18" t="inlineStr"/>
      <c r="H14" s="18" t="inlineStr">
        <is>
          <t>Base reference</t>
        </is>
      </c>
    </row>
    <row r="15">
      <c r="A15" s="18" t="inlineStr">
        <is>
          <t>10-1630205H</t>
        </is>
      </c>
      <c r="B15" s="18" t="inlineStr">
        <is>
          <t>Bendix S-20 - 500HR Inspection</t>
        </is>
      </c>
      <c r="C15" s="18" t="inlineStr">
        <is>
          <t>Svc</t>
        </is>
      </c>
      <c r="D15" s="19" t="n">
        <v>625</v>
      </c>
      <c r="E15" s="19" t="n">
        <v>0</v>
      </c>
      <c r="F15" s="18" t="n">
        <v>0</v>
      </c>
      <c r="G15" s="18" t="inlineStr">
        <is>
          <t>3-5 Days</t>
        </is>
      </c>
      <c r="H15" s="18" t="inlineStr">
        <is>
          <t>500HR service price</t>
        </is>
      </c>
    </row>
    <row r="16">
      <c r="A16" s="18" t="inlineStr">
        <is>
          <t>10-163020-CO</t>
        </is>
      </c>
      <c r="B16" s="18" t="inlineStr">
        <is>
          <t>Bendix S-20 - Customer Overhaul</t>
        </is>
      </c>
      <c r="C16" s="18" t="inlineStr">
        <is>
          <t>CO</t>
        </is>
      </c>
      <c r="D16" s="19" t="n">
        <v>950</v>
      </c>
      <c r="E16" s="19" t="n">
        <v>0</v>
      </c>
      <c r="F16" s="18" t="n">
        <v>0</v>
      </c>
      <c r="G16" s="18" t="inlineStr">
        <is>
          <t>7-10 Days</t>
        </is>
      </c>
      <c r="H16" s="18" t="inlineStr">
        <is>
          <t>Cust prop overhaul</t>
        </is>
      </c>
    </row>
    <row r="17">
      <c r="A17" s="18" t="inlineStr">
        <is>
          <t>10-163020-OH</t>
        </is>
      </c>
      <c r="B17" s="18" t="inlineStr">
        <is>
          <t>Bendix S-20 - OH Exchange</t>
        </is>
      </c>
      <c r="C17" s="18" t="inlineStr">
        <is>
          <t>OH</t>
        </is>
      </c>
      <c r="D17" s="19" t="n">
        <v>2650</v>
      </c>
      <c r="E17" s="19" t="n">
        <v>950</v>
      </c>
      <c r="F17" s="18" t="n">
        <v>4</v>
      </c>
      <c r="G17" s="18" t="inlineStr">
        <is>
          <t>5-7 Days</t>
        </is>
      </c>
      <c r="H17" s="18" t="inlineStr">
        <is>
          <t>Exchange unit</t>
        </is>
      </c>
    </row>
    <row r="18">
      <c r="A18" s="18" t="inlineStr">
        <is>
          <t>LW-15473</t>
        </is>
      </c>
      <c r="B18" s="18" t="inlineStr">
        <is>
          <t>Impulse Coupling Assembly</t>
        </is>
      </c>
      <c r="C18" s="18" t="inlineStr">
        <is>
          <t>New</t>
        </is>
      </c>
      <c r="D18" s="19" t="n">
        <v>425</v>
      </c>
      <c r="E18" s="19" t="n">
        <v>0</v>
      </c>
      <c r="F18" s="18" t="n">
        <v>12</v>
      </c>
      <c r="G18" s="18" t="inlineStr">
        <is>
          <t>In Stock</t>
        </is>
      </c>
      <c r="H18" s="18" t="inlineStr">
        <is>
          <t>Common replacement</t>
        </is>
      </c>
    </row>
    <row r="19">
      <c r="A19" s="18" t="inlineStr">
        <is>
          <t>10-357170</t>
        </is>
      </c>
      <c r="B19" s="18" t="inlineStr">
        <is>
          <t>Coil Assembly</t>
        </is>
      </c>
      <c r="C19" s="18" t="inlineStr">
        <is>
          <t>New</t>
        </is>
      </c>
      <c r="D19" s="19" t="n">
        <v>185</v>
      </c>
      <c r="E19" s="19" t="n">
        <v>0</v>
      </c>
      <c r="F19" s="18" t="n">
        <v>20</v>
      </c>
      <c r="G19" s="18" t="inlineStr">
        <is>
          <t>In Stock</t>
        </is>
      </c>
      <c r="H19" s="18" t="inlineStr">
        <is>
          <t>Common replacement</t>
        </is>
      </c>
    </row>
    <row r="20">
      <c r="A20" s="18" t="inlineStr">
        <is>
          <t>10-357210</t>
        </is>
      </c>
      <c r="B20" s="18" t="inlineStr">
        <is>
          <t>Capacitor</t>
        </is>
      </c>
      <c r="C20" s="18" t="inlineStr">
        <is>
          <t>New</t>
        </is>
      </c>
      <c r="D20" s="19" t="n">
        <v>45</v>
      </c>
      <c r="E20" s="19" t="n">
        <v>0</v>
      </c>
      <c r="F20" s="18" t="n">
        <v>50</v>
      </c>
      <c r="G20" s="18" t="inlineStr">
        <is>
          <t>In Stock</t>
        </is>
      </c>
      <c r="H20" s="18" t="inlineStr">
        <is>
          <t>Common replacement</t>
        </is>
      </c>
    </row>
    <row r="21">
      <c r="A21" s="18" t="inlineStr">
        <is>
          <t>10-51360</t>
        </is>
      </c>
      <c r="B21" s="18" t="inlineStr">
        <is>
          <t>Distributor Block</t>
        </is>
      </c>
      <c r="C21" s="18" t="inlineStr">
        <is>
          <t>New</t>
        </is>
      </c>
      <c r="D21" s="19" t="n">
        <v>125</v>
      </c>
      <c r="E21" s="19" t="n">
        <v>0</v>
      </c>
      <c r="F21" s="18" t="n">
        <v>15</v>
      </c>
      <c r="G21" s="18" t="inlineStr">
        <is>
          <t>In Stock</t>
        </is>
      </c>
      <c r="H21" s="18" t="inlineStr">
        <is>
          <t>Common replacement</t>
        </is>
      </c>
    </row>
    <row r="22">
      <c r="A22" s="18" t="inlineStr">
        <is>
          <t>10-51350</t>
        </is>
      </c>
      <c r="B22" s="18" t="inlineStr">
        <is>
          <t>Points Assembly</t>
        </is>
      </c>
      <c r="C22" s="18" t="inlineStr">
        <is>
          <t>New</t>
        </is>
      </c>
      <c r="D22" s="19" t="n">
        <v>85</v>
      </c>
      <c r="E22" s="19" t="n">
        <v>0</v>
      </c>
      <c r="F22" s="18" t="n">
        <v>30</v>
      </c>
      <c r="G22" s="18" t="inlineStr">
        <is>
          <t>In Stock</t>
        </is>
      </c>
      <c r="H22" s="18" t="inlineStr">
        <is>
          <t>Common replacement</t>
        </is>
      </c>
    </row>
    <row r="23">
      <c r="A23" s="18" t="inlineStr">
        <is>
          <t>10-51340</t>
        </is>
      </c>
      <c r="B23" s="18" t="inlineStr">
        <is>
          <t>Bearing Set</t>
        </is>
      </c>
      <c r="C23" s="18" t="inlineStr">
        <is>
          <t>New</t>
        </is>
      </c>
      <c r="D23" s="19" t="n">
        <v>95</v>
      </c>
      <c r="E23" s="19" t="n">
        <v>0</v>
      </c>
      <c r="F23" s="18" t="n">
        <v>25</v>
      </c>
      <c r="G23" s="18" t="inlineStr">
        <is>
          <t>In Stock</t>
        </is>
      </c>
      <c r="H23" s="18" t="inlineStr">
        <is>
          <t>Common replacement</t>
        </is>
      </c>
    </row>
    <row r="24">
      <c r="A24" s="18" t="inlineStr">
        <is>
          <t>10-51330</t>
        </is>
      </c>
      <c r="B24" s="18" t="inlineStr">
        <is>
          <t>Gear Assembly</t>
        </is>
      </c>
      <c r="C24" s="18" t="inlineStr">
        <is>
          <t>New</t>
        </is>
      </c>
      <c r="D24" s="19" t="n">
        <v>165</v>
      </c>
      <c r="E24" s="19" t="n">
        <v>0</v>
      </c>
      <c r="F24" s="18" t="n">
        <v>8</v>
      </c>
      <c r="G24" s="18" t="inlineStr">
        <is>
          <t>In Stock</t>
        </is>
      </c>
      <c r="H24" s="18" t="inlineStr">
        <is>
          <t>Common replacement</t>
        </is>
      </c>
    </row>
    <row r="25">
      <c r="A25" s="18" t="inlineStr">
        <is>
          <t>646942-CO</t>
        </is>
      </c>
      <c r="B25" s="18" t="inlineStr">
        <is>
          <t>Governor - Customer Overhaul</t>
        </is>
      </c>
      <c r="C25" s="18" t="inlineStr">
        <is>
          <t>CO</t>
        </is>
      </c>
      <c r="D25" s="19" t="n">
        <v>1500</v>
      </c>
      <c r="E25" s="19" t="n">
        <v>0</v>
      </c>
      <c r="F25" s="18" t="n">
        <v>0</v>
      </c>
      <c r="G25" s="18" t="inlineStr">
        <is>
          <t>14-21 Days</t>
        </is>
      </c>
      <c r="H25" s="18" t="inlineStr">
        <is>
          <t>Vendor overhaul</t>
        </is>
      </c>
    </row>
    <row r="26">
      <c r="A26" s="18" t="inlineStr">
        <is>
          <t>646942-OH</t>
        </is>
      </c>
      <c r="B26" s="18" t="inlineStr">
        <is>
          <t>Governor - OH Exchange</t>
        </is>
      </c>
      <c r="C26" s="18" t="inlineStr">
        <is>
          <t>OH</t>
        </is>
      </c>
      <c r="D26" s="19" t="n">
        <v>3450</v>
      </c>
      <c r="E26" s="19" t="n">
        <v>1500</v>
      </c>
      <c r="F26" s="18" t="n">
        <v>2</v>
      </c>
      <c r="G26" s="18" t="inlineStr">
        <is>
          <t>5-7 Days</t>
        </is>
      </c>
      <c r="H26" s="18" t="inlineStr">
        <is>
          <t>Exchange unit</t>
        </is>
      </c>
    </row>
    <row r="27">
      <c r="A27" s="18" t="inlineStr">
        <is>
          <t>478615-CO</t>
        </is>
      </c>
      <c r="B27" s="18" t="inlineStr">
        <is>
          <t>Turbocharger - Customer Overhaul</t>
        </is>
      </c>
      <c r="C27" s="18" t="inlineStr">
        <is>
          <t>CO</t>
        </is>
      </c>
      <c r="D27" s="19" t="n">
        <v>2800</v>
      </c>
      <c r="E27" s="19" t="n">
        <v>0</v>
      </c>
      <c r="F27" s="18" t="n">
        <v>0</v>
      </c>
      <c r="G27" s="18" t="inlineStr">
        <is>
          <t>21-30 Days</t>
        </is>
      </c>
      <c r="H27" s="18" t="inlineStr">
        <is>
          <t>Vendor overhaul</t>
        </is>
      </c>
    </row>
    <row r="28">
      <c r="A28" s="18" t="inlineStr">
        <is>
          <t>478615-OH</t>
        </is>
      </c>
      <c r="B28" s="18" t="inlineStr">
        <is>
          <t>Turbocharger - OH Exchange</t>
        </is>
      </c>
      <c r="C28" s="18" t="inlineStr">
        <is>
          <t>OH</t>
        </is>
      </c>
      <c r="D28" s="19" t="n">
        <v>5800</v>
      </c>
      <c r="E28" s="19" t="n">
        <v>2500</v>
      </c>
      <c r="F28" s="18" t="n">
        <v>1</v>
      </c>
      <c r="G28" s="18" t="inlineStr">
        <is>
          <t>5-7 Days</t>
        </is>
      </c>
      <c r="H28" s="18" t="inlineStr">
        <is>
          <t>Exchange unit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5" t="inlineStr">
        <is>
          <t>Parent P/N</t>
        </is>
      </c>
      <c r="B1" s="35" t="inlineStr">
        <is>
          <t>Parent Description</t>
        </is>
      </c>
      <c r="C1" s="35" t="inlineStr">
        <is>
          <t>Component P/N</t>
        </is>
      </c>
      <c r="D1" s="35" t="inlineStr">
        <is>
          <t>Component Description</t>
        </is>
      </c>
      <c r="E1" s="35" t="inlineStr">
        <is>
          <t>Qty Per</t>
        </is>
      </c>
    </row>
    <row r="2">
      <c r="A2" s="18" t="inlineStr">
        <is>
          <t>10-382320</t>
        </is>
      </c>
      <c r="B2" s="18" t="inlineStr">
        <is>
          <t>S-20/200 Magneto</t>
        </is>
      </c>
      <c r="C2" s="18" t="inlineStr">
        <is>
          <t>10-357170</t>
        </is>
      </c>
      <c r="D2" s="18" t="inlineStr">
        <is>
          <t>Coil Assembly</t>
        </is>
      </c>
      <c r="E2" s="18" t="n">
        <v>1</v>
      </c>
    </row>
    <row r="3">
      <c r="A3" s="18" t="inlineStr">
        <is>
          <t>10-382320</t>
        </is>
      </c>
      <c r="B3" s="18" t="inlineStr">
        <is>
          <t>S-20/200 Magneto</t>
        </is>
      </c>
      <c r="C3" s="18" t="inlineStr">
        <is>
          <t>10-357210</t>
        </is>
      </c>
      <c r="D3" s="18" t="inlineStr">
        <is>
          <t>Capacitor</t>
        </is>
      </c>
      <c r="E3" s="18" t="n">
        <v>1</v>
      </c>
    </row>
    <row r="4">
      <c r="A4" s="18" t="inlineStr">
        <is>
          <t>10-382320</t>
        </is>
      </c>
      <c r="B4" s="18" t="inlineStr">
        <is>
          <t>S-20/200 Magneto</t>
        </is>
      </c>
      <c r="C4" s="18" t="inlineStr">
        <is>
          <t>10-51360</t>
        </is>
      </c>
      <c r="D4" s="18" t="inlineStr">
        <is>
          <t>Distributor Block</t>
        </is>
      </c>
      <c r="E4" s="18" t="n">
        <v>1</v>
      </c>
    </row>
    <row r="5">
      <c r="A5" s="18" t="inlineStr">
        <is>
          <t>10-382320</t>
        </is>
      </c>
      <c r="B5" s="18" t="inlineStr">
        <is>
          <t>S-20/200 Magneto</t>
        </is>
      </c>
      <c r="C5" s="18" t="inlineStr">
        <is>
          <t>LW-15473</t>
        </is>
      </c>
      <c r="D5" s="18" t="inlineStr">
        <is>
          <t>Impulse Coupling</t>
        </is>
      </c>
      <c r="E5" s="18" t="n">
        <v>1</v>
      </c>
    </row>
    <row r="6">
      <c r="A6" s="18" t="inlineStr">
        <is>
          <t>10-320680</t>
        </is>
      </c>
      <c r="B6" s="18" t="inlineStr">
        <is>
          <t>S-1200 Magneto</t>
        </is>
      </c>
      <c r="C6" s="18" t="inlineStr">
        <is>
          <t>10-357170</t>
        </is>
      </c>
      <c r="D6" s="18" t="inlineStr">
        <is>
          <t>Coil Assembly</t>
        </is>
      </c>
      <c r="E6" s="18" t="n">
        <v>1</v>
      </c>
    </row>
    <row r="7">
      <c r="A7" s="18" t="inlineStr">
        <is>
          <t>10-320680</t>
        </is>
      </c>
      <c r="B7" s="18" t="inlineStr">
        <is>
          <t>S-1200 Magneto</t>
        </is>
      </c>
      <c r="C7" s="18" t="inlineStr">
        <is>
          <t>10-357210</t>
        </is>
      </c>
      <c r="D7" s="18" t="inlineStr">
        <is>
          <t>Capacitor</t>
        </is>
      </c>
      <c r="E7" s="18" t="n">
        <v>1</v>
      </c>
    </row>
    <row r="8">
      <c r="A8" s="18" t="inlineStr">
        <is>
          <t>10-391088</t>
        </is>
      </c>
      <c r="B8" s="18" t="inlineStr">
        <is>
          <t>D-2000/D-3000 Magneto</t>
        </is>
      </c>
      <c r="C8" s="18" t="inlineStr">
        <is>
          <t>10-357170</t>
        </is>
      </c>
      <c r="D8" s="18" t="inlineStr">
        <is>
          <t>Coil Assembly</t>
        </is>
      </c>
      <c r="E8" s="18" t="n">
        <v>1</v>
      </c>
    </row>
    <row r="9">
      <c r="A9" s="18" t="inlineStr">
        <is>
          <t>10-391088</t>
        </is>
      </c>
      <c r="B9" s="18" t="inlineStr">
        <is>
          <t>D-2000/D-3000 Magneto</t>
        </is>
      </c>
      <c r="C9" s="18" t="inlineStr">
        <is>
          <t>10-51360</t>
        </is>
      </c>
      <c r="D9" s="18" t="inlineStr">
        <is>
          <t>Distributor Block</t>
        </is>
      </c>
      <c r="E9" s="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36" t="inlineStr">
        <is>
          <t>SYSTEM CONFIGURATION</t>
        </is>
      </c>
    </row>
    <row r="2">
      <c r="A2" s="28" t="inlineStr">
        <is>
          <t>Quote Prefix</t>
        </is>
      </c>
      <c r="B2" s="13" t="inlineStr">
        <is>
          <t>QAA</t>
        </is>
      </c>
    </row>
    <row r="3">
      <c r="A3" s="28" t="inlineStr">
        <is>
          <t>Next Quote #</t>
        </is>
      </c>
      <c r="B3" s="13" t="n">
        <v>1</v>
      </c>
      <c r="C3" t="inlineStr">
        <is>
          <t>Auto-increments after each email sent</t>
        </is>
      </c>
    </row>
    <row r="4">
      <c r="A4" s="28" t="inlineStr">
        <is>
          <t>Quote Valid Days</t>
        </is>
      </c>
      <c r="B4" s="13" t="n">
        <v>30</v>
      </c>
    </row>
    <row r="5">
      <c r="A5" s="28" t="inlineStr">
        <is>
          <t>500HR Default Fee</t>
        </is>
      </c>
      <c r="B5" s="13" t="n">
        <v>550</v>
      </c>
      <c r="C5" t="inlineStr">
        <is>
          <t>Fallback if 5H variant not found</t>
        </is>
      </c>
    </row>
    <row r="6">
      <c r="A6" s="28" t="inlineStr">
        <is>
          <t>500HR Findings Add-On</t>
        </is>
      </c>
      <c r="B6" s="13" t="n">
        <v>110</v>
      </c>
      <c r="C6" t="inlineStr">
        <is>
          <t>Flat fee per unit with ANY findings</t>
        </is>
      </c>
    </row>
    <row r="9">
      <c r="A9" s="11" t="inlineStr">
        <is>
          <t>TIER DISCOUNTS</t>
        </is>
      </c>
    </row>
    <row r="10">
      <c r="A10" t="inlineStr">
        <is>
          <t>Standard</t>
        </is>
      </c>
      <c r="B10" s="37" t="n">
        <v>0</v>
      </c>
    </row>
    <row r="11">
      <c r="A11" t="inlineStr">
        <is>
          <t>Tier 1</t>
        </is>
      </c>
      <c r="B11" s="37" t="n">
        <v>0.07000000000000001</v>
      </c>
    </row>
    <row r="12">
      <c r="A12" t="inlineStr">
        <is>
          <t>Tier 2</t>
        </is>
      </c>
      <c r="B12" s="37" t="n">
        <v>0.1</v>
      </c>
    </row>
    <row r="13">
      <c r="A13" t="inlineStr">
        <is>
          <t>Tier 3</t>
        </is>
      </c>
      <c r="B13" s="37" t="n">
        <v>0.13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0" customWidth="1" min="4" max="4"/>
    <col width="18" customWidth="1" min="5" max="5"/>
    <col width="8" customWidth="1" min="6" max="6"/>
    <col width="12" customWidth="1" min="7" max="7"/>
    <col width="12" customWidth="1" min="8" max="8"/>
    <col width="10" customWidth="1" min="9" max="9"/>
    <col width="40" customWidth="1" min="10" max="10"/>
    <col width="50" customWidth="1" min="11" max="11"/>
  </cols>
  <sheetData>
    <row r="1">
      <c r="A1" s="34" t="inlineStr">
        <is>
          <t>Quote #</t>
        </is>
      </c>
      <c r="B1" s="34" t="inlineStr">
        <is>
          <t>Date Sent</t>
        </is>
      </c>
      <c r="C1" s="34" t="inlineStr">
        <is>
          <t>Time</t>
        </is>
      </c>
      <c r="D1" s="34" t="inlineStr">
        <is>
          <t>Customer Email</t>
        </is>
      </c>
      <c r="E1" s="34" t="inlineStr">
        <is>
          <t>Type</t>
        </is>
      </c>
      <c r="F1" s="34" t="inlineStr">
        <is>
          <t>Units</t>
        </is>
      </c>
      <c r="G1" s="34" t="inlineStr">
        <is>
          <t>Total</t>
        </is>
      </c>
      <c r="H1" s="34" t="inlineStr">
        <is>
          <t>Core</t>
        </is>
      </c>
      <c r="I1" s="34" t="inlineStr">
        <is>
          <t>Status</t>
        </is>
      </c>
      <c r="J1" s="34" t="inlineStr">
        <is>
          <t>Subject</t>
        </is>
      </c>
      <c r="K1" s="34" t="inlineStr">
        <is>
          <t>Body Preview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0" customWidth="1" min="4" max="4"/>
    <col width="50" customWidth="1" min="5" max="5"/>
    <col width="100" customWidth="1" min="6" max="6"/>
  </cols>
  <sheetData>
    <row r="1">
      <c r="A1" s="34" t="inlineStr">
        <is>
          <t>Quote #</t>
        </is>
      </c>
      <c r="B1" s="34" t="inlineStr">
        <is>
          <t>Date Sent</t>
        </is>
      </c>
      <c r="C1" s="34" t="inlineStr">
        <is>
          <t>Time</t>
        </is>
      </c>
      <c r="D1" s="34" t="inlineStr">
        <is>
          <t>Customer Email</t>
        </is>
      </c>
      <c r="E1" s="34" t="inlineStr">
        <is>
          <t>Subject</t>
        </is>
      </c>
      <c r="F1" s="34" t="inlineStr">
        <is>
          <t>Full Email Body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5" t="inlineStr">
        <is>
          <t>Part Number</t>
        </is>
      </c>
      <c r="B1" s="35" t="inlineStr">
        <is>
          <t>Description</t>
        </is>
      </c>
      <c r="C1" s="35" t="inlineStr">
        <is>
          <t>On Hand</t>
        </is>
      </c>
      <c r="D1" s="35" t="inlineStr">
        <is>
          <t>Allocated</t>
        </is>
      </c>
      <c r="E1" s="35" t="inlineStr">
        <is>
          <t>Available</t>
        </is>
      </c>
      <c r="F1" s="35" t="inlineStr">
        <is>
          <t>Location</t>
        </is>
      </c>
      <c r="G1" s="35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2026-01-09T21:03:08Z</dcterms:created>
  <dcterms:modified xsi:type="dcterms:W3CDTF">2026-01-09T21:03:08Z</dcterms:modified>
</cp:coreProperties>
</file>