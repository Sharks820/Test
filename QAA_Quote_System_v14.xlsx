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500HR" sheetId="2" state="visible" r:id="rId2"/>
    <sheet name="Cust Property" sheetId="3" state="visible" r:id="rId3"/>
    <sheet name="Exchange" sheetId="4" state="visible" r:id="rId4"/>
    <sheet name="Quote Tracker" sheetId="5" state="visible" r:id="rId5"/>
    <sheet name="PO Tracking" sheetId="6" state="visible" r:id="rId6"/>
    <sheet name="Infor XA Data" sheetId="7" state="visible" r:id="rId7"/>
    <sheet name="Quick Reference" sheetId="8" state="visible" r:id="rId8"/>
    <sheet name="Parts Master" sheetId="9" state="visible" r:id="rId9"/>
    <sheet name="BOM" sheetId="10" state="visible" r:id="rId10"/>
    <sheet name="Config" sheetId="11" state="visible" r:id="rId11"/>
  </sheets>
  <definedNames>
    <definedName name="_xlnm.Print_Area" localSheetId="1">'500HR'!$A$1:$J$34</definedName>
    <definedName name="_xlnm.Print_Area" localSheetId="2">'Cust Property'!$A$1:$H$34</definedName>
    <definedName name="_xlnm.Print_Area" localSheetId="3">'Exchange'!$A$1:$J$27</definedName>
    <definedName name="_xlnm._FilterDatabase" localSheetId="4" hidden="1">'Quote Tracker'!$A$3:$M$53</definedName>
  </definedNames>
  <calcPr calcId="124519" fullCalcOnLoad="1"/>
</workbook>
</file>

<file path=xl/styles.xml><?xml version="1.0" encoding="utf-8"?>
<styleSheet xmlns="http://schemas.openxmlformats.org/spreadsheetml/2006/main">
  <numFmts count="5">
    <numFmt numFmtId="164" formatCode="$#,##0.00"/>
    <numFmt numFmtId="165" formatCode="MM/DD/YY"/>
    <numFmt numFmtId="166" formatCode="0.0"/>
    <numFmt numFmtId="167" formatCode="MM/DD/YYYY"/>
    <numFmt numFmtId="168" formatCode="MM/DD/YYYY HH:MM"/>
  </numFmts>
  <fonts count="26">
    <font>
      <name val="Calibri"/>
      <family val="2"/>
      <color theme="1"/>
      <sz val="11"/>
      <scheme val="minor"/>
    </font>
    <font>
      <b val="1"/>
      <color rgb="001B365D"/>
      <sz val="20"/>
    </font>
    <font>
      <i val="1"/>
      <color rgb="0000A3E0"/>
      <sz val="10"/>
    </font>
    <font>
      <b val="1"/>
      <color rgb="00FFFFFF"/>
      <sz val="16"/>
    </font>
    <font>
      <b val="1"/>
      <color rgb="001B365D"/>
    </font>
    <font>
      <b val="1"/>
      <color rgb="001B365D"/>
      <sz val="11"/>
    </font>
    <font>
      <color rgb="00666666"/>
      <sz val="9"/>
    </font>
    <font>
      <color rgb="001B365D"/>
      <sz val="10"/>
    </font>
    <font>
      <b val="1"/>
      <color rgb="00FFFFFF"/>
      <sz val="14"/>
    </font>
    <font>
      <b val="1"/>
      <color rgb="001B365D"/>
      <sz val="16"/>
    </font>
    <font>
      <b val="1"/>
      <color rgb="00FFFFFF"/>
      <sz val="10"/>
    </font>
    <font>
      <b val="1"/>
      <color rgb="00FFFFFF"/>
      <sz val="12"/>
    </font>
    <font>
      <b val="1"/>
      <color rgb="001B365D"/>
      <sz val="10"/>
    </font>
    <font>
      <b val="1"/>
      <color rgb="001B365D"/>
      <sz val="9"/>
    </font>
    <font>
      <b val="1"/>
      <sz val="8"/>
    </font>
    <font>
      <sz val="12"/>
    </font>
    <font>
      <b val="1"/>
      <color rgb="001B365D"/>
      <sz val="12"/>
    </font>
    <font>
      <b val="1"/>
      <color rgb="001B365D"/>
      <sz val="14"/>
    </font>
    <font>
      <b val="1"/>
      <color rgb="00FFFFFF"/>
    </font>
    <font>
      <b val="1"/>
      <color rgb="00FFFFFF"/>
      <sz val="9"/>
    </font>
    <font>
      <b val="1"/>
    </font>
    <font>
      <color rgb="0028A745"/>
    </font>
    <font>
      <b val="1"/>
      <color rgb="0028A745"/>
    </font>
    <font>
      <i val="1"/>
      <color rgb="00666666"/>
      <sz val="9"/>
    </font>
    <font>
      <b val="1"/>
      <color rgb="00DC3545"/>
    </font>
    <font>
      <i val="1"/>
      <color rgb="00666666"/>
    </font>
  </fonts>
  <fills count="8">
    <fill>
      <patternFill/>
    </fill>
    <fill>
      <patternFill patternType="gray125"/>
    </fill>
    <fill>
      <patternFill patternType="solid">
        <fgColor rgb="001B365D"/>
        <bgColor rgb="001B365D"/>
      </patternFill>
    </fill>
    <fill>
      <patternFill patternType="solid">
        <fgColor rgb="00F5F5F5"/>
        <bgColor rgb="00F5F5F5"/>
      </patternFill>
    </fill>
    <fill>
      <patternFill patternType="solid">
        <fgColor rgb="0000A3E0"/>
        <bgColor rgb="0000A3E0"/>
      </patternFill>
    </fill>
    <fill>
      <patternFill patternType="solid">
        <fgColor rgb="00FFFDE7"/>
        <bgColor rgb="00FFFDE7"/>
      </patternFill>
    </fill>
    <fill>
      <patternFill patternType="solid">
        <fgColor rgb="00C8E6C9"/>
        <bgColor rgb="00C8E6C9"/>
      </patternFill>
    </fill>
    <fill>
      <patternFill patternType="solid">
        <fgColor rgb="0028A745"/>
        <bgColor rgb="0028A745"/>
      </patternFill>
    </fill>
  </fills>
  <borders count="16">
    <border>
      <left/>
      <right/>
      <top/>
      <bottom/>
      <diagonal/>
    </border>
    <border>
      <left style="thin">
        <color rgb="00E0E0E0"/>
      </left>
      <right style="thin">
        <color rgb="00E0E0E0"/>
      </right>
      <top style="thin">
        <color rgb="00E0E0E0"/>
      </top>
      <bottom style="thin">
        <color rgb="00E0E0E0"/>
      </bottom>
    </border>
    <border>
      <bottom style="thin">
        <color rgb="001B365D"/>
      </bottom>
    </border>
    <border>
      <left style="medium">
        <color rgb="001B365D"/>
      </left>
      <right style="medium">
        <color rgb="001B365D"/>
      </right>
      <top style="medium">
        <color rgb="001B365D"/>
      </top>
      <bottom style="medium">
        <color rgb="001B365D"/>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
      <left style="thin">
        <color rgb="00E0E0E0"/>
      </left>
      <right/>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s>
  <cellStyleXfs count="1">
    <xf numFmtId="0" fontId="0" fillId="0" borderId="0"/>
  </cellStyleXfs>
  <cellXfs count="6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applyAlignment="1" pivotButton="0" quotePrefix="0" xfId="0">
      <alignment horizontal="center" vertical="center"/>
    </xf>
    <xf numFmtId="0" fontId="4" fillId="0" borderId="0" pivotButton="0" quotePrefix="0" xfId="0"/>
    <xf numFmtId="0" fontId="5" fillId="0" borderId="0" applyAlignment="1" pivotButton="0" quotePrefix="0" xfId="0">
      <alignment horizontal="center"/>
    </xf>
    <xf numFmtId="0" fontId="6" fillId="0" borderId="0" applyAlignment="1" pivotButton="0" quotePrefix="0" xfId="0">
      <alignment horizontal="center"/>
    </xf>
    <xf numFmtId="0" fontId="7" fillId="3" borderId="1" applyAlignment="1" pivotButton="0" quotePrefix="0" xfId="0">
      <alignment horizontal="center"/>
    </xf>
    <xf numFmtId="0" fontId="8" fillId="4" borderId="0" applyAlignment="1" pivotButton="0" quotePrefix="0" xfId="0">
      <alignment horizontal="center"/>
    </xf>
    <xf numFmtId="0" fontId="4" fillId="0" borderId="0" applyAlignment="1" pivotButton="0" quotePrefix="0" xfId="0">
      <alignment horizontal="center"/>
    </xf>
    <xf numFmtId="0" fontId="9" fillId="0" borderId="0" applyAlignment="1" pivotButton="0" quotePrefix="0" xfId="0">
      <alignment horizontal="center"/>
    </xf>
    <xf numFmtId="0" fontId="11" fillId="2" borderId="1" applyAlignment="1" pivotButton="0" quotePrefix="0" xfId="0">
      <alignment horizontal="center" vertical="center" wrapText="1"/>
    </xf>
    <xf numFmtId="0" fontId="12" fillId="0" borderId="0" pivotButton="0" quotePrefix="0" xfId="0"/>
    <xf numFmtId="0" fontId="5" fillId="0" borderId="0" pivotButton="0" quotePrefix="0" xfId="0"/>
    <xf numFmtId="0" fontId="0" fillId="5" borderId="1" pivotButton="0" quotePrefix="0" xfId="0"/>
    <xf numFmtId="0" fontId="13" fillId="0" borderId="0" pivotButton="0" quotePrefix="0" xfId="0"/>
    <xf numFmtId="0" fontId="0" fillId="0" borderId="2" pivotButton="0" quotePrefix="0" xfId="0"/>
    <xf numFmtId="0" fontId="10" fillId="2" borderId="1" applyAlignment="1" pivotButton="0" quotePrefix="0" xfId="0">
      <alignment horizontal="center" vertical="center" wrapText="1"/>
    </xf>
    <xf numFmtId="0" fontId="0" fillId="0" borderId="1" pivotButton="0" quotePrefix="0" xfId="0"/>
    <xf numFmtId="164" fontId="0" fillId="0" borderId="1" pivotButton="0" quotePrefix="0" xfId="0"/>
    <xf numFmtId="0" fontId="0" fillId="5" borderId="1" applyAlignment="1" pivotButton="0" quotePrefix="0" xfId="0">
      <alignment horizontal="center"/>
    </xf>
    <xf numFmtId="0" fontId="10" fillId="4" borderId="0" applyAlignment="1" pivotButton="0" quotePrefix="0" xfId="0">
      <alignment horizontal="center"/>
    </xf>
    <xf numFmtId="0" fontId="14" fillId="0" borderId="0" applyAlignment="1" pivotButton="0" quotePrefix="0" xfId="0">
      <alignment horizontal="center"/>
    </xf>
    <xf numFmtId="0" fontId="15" fillId="0" borderId="1" applyAlignment="1" pivotButton="0" quotePrefix="0" xfId="0">
      <alignment horizontal="center"/>
    </xf>
    <xf numFmtId="164" fontId="0" fillId="0" borderId="0" pivotButton="0" quotePrefix="0" xfId="0"/>
    <xf numFmtId="0" fontId="16" fillId="0" borderId="0" applyAlignment="1" pivotButton="0" quotePrefix="0" xfId="0">
      <alignment horizontal="right"/>
    </xf>
    <xf numFmtId="164" fontId="17" fillId="6" borderId="3" pivotButton="0" quotePrefix="0" xfId="0"/>
    <xf numFmtId="0" fontId="10" fillId="2" borderId="1" applyAlignment="1" pivotButton="0" quotePrefix="0" xfId="0">
      <alignment horizontal="center" vertical="center"/>
    </xf>
    <xf numFmtId="0" fontId="0" fillId="0" borderId="1" applyAlignment="1" pivotButton="0" quotePrefix="0" xfId="0">
      <alignment horizontal="center"/>
    </xf>
    <xf numFmtId="164" fontId="0" fillId="5" borderId="1" pivotButton="0" quotePrefix="0" xfId="0"/>
    <xf numFmtId="0" fontId="18" fillId="4" borderId="0" applyAlignment="1" pivotButton="0" quotePrefix="0" xfId="0">
      <alignment horizontal="center"/>
    </xf>
    <xf numFmtId="0" fontId="13" fillId="3" borderId="0" applyAlignment="1" pivotButton="0" quotePrefix="0" xfId="0">
      <alignment horizontal="center"/>
    </xf>
    <xf numFmtId="0" fontId="16" fillId="0" borderId="0" pivotButton="0" quotePrefix="0" xfId="0"/>
    <xf numFmtId="164" fontId="16" fillId="6" borderId="0" pivotButton="0" quotePrefix="0" xfId="0"/>
    <xf numFmtId="0" fontId="19" fillId="2" borderId="0" applyAlignment="1" pivotButton="0" quotePrefix="0" xfId="0">
      <alignment horizontal="center" vertical="center"/>
    </xf>
    <xf numFmtId="164" fontId="20" fillId="0" borderId="0" pivotButton="0" quotePrefix="0" xfId="0"/>
    <xf numFmtId="0" fontId="21" fillId="0" borderId="0" pivotButton="0" quotePrefix="0" xfId="0"/>
    <xf numFmtId="164" fontId="22" fillId="0" borderId="0" pivotButton="0" quotePrefix="0" xfId="0"/>
    <xf numFmtId="164" fontId="17" fillId="6" borderId="0" pivotButton="0" quotePrefix="0" xfId="0"/>
    <xf numFmtId="0" fontId="23" fillId="0" borderId="0" applyAlignment="1" pivotButton="0" quotePrefix="0" xfId="0">
      <alignment horizontal="center"/>
    </xf>
    <xf numFmtId="0" fontId="8" fillId="2" borderId="0" applyAlignment="1" pivotButton="0" quotePrefix="0" xfId="0">
      <alignment horizontal="center"/>
    </xf>
    <xf numFmtId="165" fontId="0" fillId="0" borderId="1" pivotButton="0" quotePrefix="0" xfId="0"/>
    <xf numFmtId="0" fontId="0" fillId="0" borderId="1" applyAlignment="1" pivotButton="0" quotePrefix="0" xfId="0">
      <alignment wrapText="1"/>
    </xf>
    <xf numFmtId="0" fontId="24" fillId="0" borderId="0" pivotButton="0" quotePrefix="0" xfId="0"/>
    <xf numFmtId="166" fontId="0" fillId="0" borderId="0" pivotButton="0" quotePrefix="0" xfId="0"/>
    <xf numFmtId="167" fontId="0" fillId="0" borderId="1" pivotButton="0" quotePrefix="0" xfId="0"/>
    <xf numFmtId="0" fontId="23" fillId="0" borderId="0" pivotButton="0" quotePrefix="0" xfId="0"/>
    <xf numFmtId="168" fontId="0" fillId="5" borderId="1" pivotButton="0" quotePrefix="0" xfId="0"/>
    <xf numFmtId="0" fontId="25" fillId="0" borderId="0" applyAlignment="1" pivotButton="0" quotePrefix="0" xfId="0">
      <alignment horizontal="center"/>
    </xf>
    <xf numFmtId="0" fontId="3" fillId="2" borderId="0" applyAlignment="1" pivotButton="0" quotePrefix="0" xfId="0">
      <alignment horizontal="center"/>
    </xf>
    <xf numFmtId="0" fontId="11" fillId="4" borderId="0" pivotButton="0" quotePrefix="0" xfId="0"/>
    <xf numFmtId="0" fontId="0" fillId="0" borderId="0" applyAlignment="1" pivotButton="0" quotePrefix="0" xfId="0">
      <alignment wrapText="1"/>
    </xf>
    <xf numFmtId="0" fontId="11" fillId="7" borderId="0" pivotButton="0" quotePrefix="0" xfId="0"/>
    <xf numFmtId="0" fontId="17" fillId="0" borderId="0" pivotButton="0" quotePrefix="0" xfId="0"/>
    <xf numFmtId="0" fontId="20" fillId="0" borderId="0" pivotButton="0" quotePrefix="0" xfId="0"/>
    <xf numFmtId="0" fontId="6" fillId="0" borderId="0" pivotButton="0" quotePrefix="0" xfId="0"/>
    <xf numFmtId="9" fontId="0" fillId="0" borderId="0" pivotButton="0" quotePrefix="0" xfId="0"/>
    <xf numFmtId="0" fontId="0" fillId="0" borderId="6" pivotButton="0" quotePrefix="0" xfId="0"/>
    <xf numFmtId="0" fontId="0" fillId="0" borderId="7" pivotButton="0" quotePrefix="0" xfId="0"/>
    <xf numFmtId="0" fontId="0" fillId="0" borderId="10" pivotButton="0" quotePrefix="0" xfId="0"/>
    <xf numFmtId="0" fontId="0" fillId="0" borderId="4" pivotButton="0" quotePrefix="0" xfId="0"/>
    <xf numFmtId="0" fontId="0" fillId="0" borderId="5" pivotButton="0" quotePrefix="0" xfId="0"/>
    <xf numFmtId="0" fontId="0" fillId="0" borderId="13" pivotButton="0" quotePrefix="0" xfId="0"/>
    <xf numFmtId="0" fontId="0" fillId="0" borderId="14" pivotButton="0" quotePrefix="0" xfId="0"/>
    <xf numFmtId="0" fontId="0" fillId="0" borderId="15" pivotButton="0" quotePrefix="0" xfId="0"/>
  </cellXfs>
  <cellStyles count="1">
    <cellStyle name="Normal" xfId="0" builtinId="0" hidden="0"/>
  </cellStyles>
  <dxfs count="3">
    <dxf>
      <fill>
        <patternFill patternType="solid">
          <fgColor rgb="00FFCDD2"/>
          <bgColor rgb="00FFCDD2"/>
        </patternFill>
      </fill>
    </dxf>
    <dxf>
      <fill>
        <patternFill patternType="solid">
          <fgColor rgb="00FFF9C4"/>
          <bgColor rgb="00FFF9C4"/>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s>
</file>

<file path=xl/drawings/_rels/drawing2.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 Type="http://schemas.openxmlformats.org/officeDocument/2006/relationships/image" Target="/xl/media/image10.png" Id="rId3" /><Relationship Type="http://schemas.openxmlformats.org/officeDocument/2006/relationships/image" Target="/xl/media/image11.png" Id="rId4" /></Relationships>
</file>

<file path=xl/drawings/_rels/drawing3.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 Type="http://schemas.openxmlformats.org/officeDocument/2006/relationships/image" Target="/xl/media/image15.png" Id="rId4" /></Relationships>
</file>

<file path=xl/drawings/_rels/drawing4.xml.rels><Relationships xmlns="http://schemas.openxmlformats.org/package/2006/relationships"><Relationship Type="http://schemas.openxmlformats.org/officeDocument/2006/relationships/image" Target="/xl/media/image16.png" Id="rId1" /><Relationship Type="http://schemas.openxmlformats.org/officeDocument/2006/relationships/image" Target="/xl/media/image17.png" Id="rId2" /><Relationship Type="http://schemas.openxmlformats.org/officeDocument/2006/relationships/image" Target="/xl/media/image18.png" Id="rId3" /><Relationship Type="http://schemas.openxmlformats.org/officeDocument/2006/relationships/image" Target="/xl/media/image19.pn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10</row>
      <rowOff>0</rowOff>
    </from>
    <ext cx="1714500" cy="476250"/>
    <pic>
      <nvPicPr>
        <cNvPr id="1" name="Image 1" descr="Picture"/>
        <cNvPicPr/>
      </nvPicPr>
      <blipFill>
        <a:blip cstate="print" r:embed="rId1"/>
        <a:stretch>
          <a:fillRect/>
        </a:stretch>
      </blipFill>
      <spPr>
        <a:prstGeom prst="rect"/>
      </spPr>
    </pic>
    <clientData/>
  </oneCellAnchor>
  <oneCellAnchor>
    <from>
      <col>2</col>
      <colOff>0</colOff>
      <row>10</row>
      <rowOff>0</rowOff>
    </from>
    <ext cx="1714500" cy="476250"/>
    <pic>
      <nvPicPr>
        <cNvPr id="2" name="Image 2" descr="Picture"/>
        <cNvPicPr/>
      </nvPicPr>
      <blipFill>
        <a:blip cstate="print" r:embed="rId2"/>
        <a:stretch>
          <a:fillRect/>
        </a:stretch>
      </blipFill>
      <spPr>
        <a:prstGeom prst="rect"/>
      </spPr>
    </pic>
    <clientData/>
  </oneCellAnchor>
  <oneCellAnchor>
    <from>
      <col>3</col>
      <colOff>0</colOff>
      <row>10</row>
      <rowOff>0</rowOff>
    </from>
    <ext cx="1714500" cy="476250"/>
    <pic>
      <nvPicPr>
        <cNvPr id="3" name="Image 3" descr="Picture"/>
        <cNvPicPr/>
      </nvPicPr>
      <blipFill>
        <a:blip cstate="print" r:embed="rId3"/>
        <a:stretch>
          <a:fillRect/>
        </a:stretch>
      </blipFill>
      <spPr>
        <a:prstGeom prst="rect"/>
      </spPr>
    </pic>
    <clientData/>
  </oneCellAnchor>
  <oneCellAnchor>
    <from>
      <col>1</col>
      <colOff>0</colOff>
      <row>14</row>
      <rowOff>0</rowOff>
    </from>
    <ext cx="1714500" cy="476250"/>
    <pic>
      <nvPicPr>
        <cNvPr id="4" name="Image 4" descr="Picture"/>
        <cNvPicPr/>
      </nvPicPr>
      <blipFill>
        <a:blip cstate="print" r:embed="rId4"/>
        <a:stretch>
          <a:fillRect/>
        </a:stretch>
      </blipFill>
      <spPr>
        <a:prstGeom prst="rect"/>
      </spPr>
    </pic>
    <clientData/>
  </oneCellAnchor>
  <oneCellAnchor>
    <from>
      <col>2</col>
      <colOff>0</colOff>
      <row>14</row>
      <rowOff>0</rowOff>
    </from>
    <ext cx="1714500" cy="476250"/>
    <pic>
      <nvPicPr>
        <cNvPr id="5" name="Image 5" descr="Picture"/>
        <cNvPicPr/>
      </nvPicPr>
      <blipFill>
        <a:blip cstate="print" r:embed="rId5"/>
        <a:stretch>
          <a:fillRect/>
        </a:stretch>
      </blipFill>
      <spPr>
        <a:prstGeom prst="rect"/>
      </spPr>
    </pic>
    <clientData/>
  </oneCellAnchor>
  <oneCellAnchor>
    <from>
      <col>3</col>
      <colOff>0</colOff>
      <row>14</row>
      <rowOff>0</rowOff>
    </from>
    <ext cx="1714500" cy="476250"/>
    <pic>
      <nvPicPr>
        <cNvPr id="6" name="Image 6" descr="Picture"/>
        <cNvPicPr/>
      </nvPicPr>
      <blipFill>
        <a:blip cstate="print" r:embed="rId6"/>
        <a:stretch>
          <a:fillRect/>
        </a:stretch>
      </blipFill>
      <spPr>
        <a:prstGeom prst="rect"/>
      </spPr>
    </pic>
    <clientData/>
  </oneCellAnchor>
  <oneCellAnchor>
    <from>
      <col>4</col>
      <colOff>0</colOff>
      <row>14</row>
      <rowOff>0</rowOff>
    </from>
    <ext cx="1714500" cy="476250"/>
    <pic>
      <nvPicPr>
        <cNvPr id="7" name="Image 7" descr="Picture"/>
        <cNvPicPr/>
      </nvPicPr>
      <blipFill>
        <a:blip cstate="print" r:embed="rId7"/>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35</row>
      <rowOff>0</rowOff>
    </from>
    <ext cx="1333500" cy="361950"/>
    <pic>
      <nvPicPr>
        <cNvPr id="1" name="Image 1" descr="Picture"/>
        <cNvPicPr/>
      </nvPicPr>
      <blipFill>
        <a:blip cstate="print" r:embed="rId1"/>
        <a:stretch>
          <a:fillRect/>
        </a:stretch>
      </blipFill>
      <spPr>
        <a:prstGeom prst="rect"/>
      </spPr>
    </pic>
    <clientData/>
  </oneCellAnchor>
  <oneCellAnchor>
    <from>
      <col>3</col>
      <colOff>0</colOff>
      <row>35</row>
      <rowOff>0</rowOff>
    </from>
    <ext cx="1333500" cy="361950"/>
    <pic>
      <nvPicPr>
        <cNvPr id="2" name="Image 2" descr="Picture"/>
        <cNvPicPr/>
      </nvPicPr>
      <blipFill>
        <a:blip cstate="print" r:embed="rId2"/>
        <a:stretch>
          <a:fillRect/>
        </a:stretch>
      </blipFill>
      <spPr>
        <a:prstGeom prst="rect"/>
      </spPr>
    </pic>
    <clientData/>
  </oneCellAnchor>
  <oneCellAnchor>
    <from>
      <col>5</col>
      <colOff>0</colOff>
      <row>35</row>
      <rowOff>0</rowOff>
    </from>
    <ext cx="1143000" cy="361950"/>
    <pic>
      <nvPicPr>
        <cNvPr id="3" name="Image 3" descr="Picture"/>
        <cNvPicPr/>
      </nvPicPr>
      <blipFill>
        <a:blip cstate="print" r:embed="rId3"/>
        <a:stretch>
          <a:fillRect/>
        </a:stretch>
      </blipFill>
      <spPr>
        <a:prstGeom prst="rect"/>
      </spPr>
    </pic>
    <clientData/>
  </oneCellAnchor>
  <oneCellAnchor>
    <from>
      <col>7</col>
      <colOff>0</colOff>
      <row>35</row>
      <rowOff>0</rowOff>
    </from>
    <ext cx="952500" cy="361950"/>
    <pic>
      <nvPicPr>
        <cNvPr id="4" name="Image 4" descr="Picture"/>
        <cNvPicPr/>
      </nvPicPr>
      <blipFill>
        <a:blip cstate="print" r:embed="rId4"/>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35</row>
      <rowOff>0</rowOff>
    </from>
    <ext cx="1333500" cy="361950"/>
    <pic>
      <nvPicPr>
        <cNvPr id="1" name="Image 1" descr="Picture"/>
        <cNvPicPr/>
      </nvPicPr>
      <blipFill>
        <a:blip cstate="print" r:embed="rId1"/>
        <a:stretch>
          <a:fillRect/>
        </a:stretch>
      </blipFill>
      <spPr>
        <a:prstGeom prst="rect"/>
      </spPr>
    </pic>
    <clientData/>
  </oneCellAnchor>
  <oneCellAnchor>
    <from>
      <col>3</col>
      <colOff>0</colOff>
      <row>35</row>
      <rowOff>0</rowOff>
    </from>
    <ext cx="1333500" cy="361950"/>
    <pic>
      <nvPicPr>
        <cNvPr id="2" name="Image 2" descr="Picture"/>
        <cNvPicPr/>
      </nvPicPr>
      <blipFill>
        <a:blip cstate="print" r:embed="rId2"/>
        <a:stretch>
          <a:fillRect/>
        </a:stretch>
      </blipFill>
      <spPr>
        <a:prstGeom prst="rect"/>
      </spPr>
    </pic>
    <clientData/>
  </oneCellAnchor>
  <oneCellAnchor>
    <from>
      <col>5</col>
      <colOff>0</colOff>
      <row>35</row>
      <rowOff>0</rowOff>
    </from>
    <ext cx="1143000" cy="361950"/>
    <pic>
      <nvPicPr>
        <cNvPr id="3" name="Image 3" descr="Picture"/>
        <cNvPicPr/>
      </nvPicPr>
      <blipFill>
        <a:blip cstate="print" r:embed="rId3"/>
        <a:stretch>
          <a:fillRect/>
        </a:stretch>
      </blipFill>
      <spPr>
        <a:prstGeom prst="rect"/>
      </spPr>
    </pic>
    <clientData/>
  </oneCellAnchor>
  <oneCellAnchor>
    <from>
      <col>7</col>
      <colOff>0</colOff>
      <row>35</row>
      <rowOff>0</rowOff>
    </from>
    <ext cx="952500" cy="361950"/>
    <pic>
      <nvPicPr>
        <cNvPr id="4" name="Image 4" descr="Picture"/>
        <cNvPicPr/>
      </nvPicPr>
      <blipFill>
        <a:blip cstate="print" r:embed="rId4"/>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28</row>
      <rowOff>0</rowOff>
    </from>
    <ext cx="1333500" cy="361950"/>
    <pic>
      <nvPicPr>
        <cNvPr id="1" name="Image 1" descr="Picture"/>
        <cNvPicPr/>
      </nvPicPr>
      <blipFill>
        <a:blip cstate="print" r:embed="rId1"/>
        <a:stretch>
          <a:fillRect/>
        </a:stretch>
      </blipFill>
      <spPr>
        <a:prstGeom prst="rect"/>
      </spPr>
    </pic>
    <clientData/>
  </oneCellAnchor>
  <oneCellAnchor>
    <from>
      <col>2</col>
      <colOff>0</colOff>
      <row>28</row>
      <rowOff>0</rowOff>
    </from>
    <ext cx="1333500" cy="361950"/>
    <pic>
      <nvPicPr>
        <cNvPr id="2" name="Image 2" descr="Picture"/>
        <cNvPicPr/>
      </nvPicPr>
      <blipFill>
        <a:blip cstate="print" r:embed="rId2"/>
        <a:stretch>
          <a:fillRect/>
        </a:stretch>
      </blipFill>
      <spPr>
        <a:prstGeom prst="rect"/>
      </spPr>
    </pic>
    <clientData/>
  </oneCellAnchor>
  <oneCellAnchor>
    <from>
      <col>4</col>
      <colOff>0</colOff>
      <row>28</row>
      <rowOff>0</rowOff>
    </from>
    <ext cx="1143000" cy="361950"/>
    <pic>
      <nvPicPr>
        <cNvPr id="3" name="Image 3" descr="Picture"/>
        <cNvPicPr/>
      </nvPicPr>
      <blipFill>
        <a:blip cstate="print" r:embed="rId3"/>
        <a:stretch>
          <a:fillRect/>
        </a:stretch>
      </blipFill>
      <spPr>
        <a:prstGeom prst="rect"/>
      </spPr>
    </pic>
    <clientData/>
  </oneCellAnchor>
  <oneCellAnchor>
    <from>
      <col>6</col>
      <colOff>0</colOff>
      <row>28</row>
      <rowOff>0</rowOff>
    </from>
    <ext cx="952500" cy="361950"/>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B2:E17"/>
  <sheetViews>
    <sheetView workbookViewId="0">
      <selection activeCell="A1" sqref="A1"/>
    </sheetView>
  </sheetViews>
  <sheetFormatPr baseColWidth="8" defaultRowHeight="15"/>
  <cols>
    <col width="5" customWidth="1" min="1" max="1"/>
    <col width="20" customWidth="1" min="2" max="2"/>
    <col width="20" customWidth="1" min="3" max="3"/>
    <col width="20" customWidth="1" min="4" max="4"/>
    <col width="20" customWidth="1" min="5" max="5"/>
    <col width="5" customWidth="1" min="6" max="6"/>
  </cols>
  <sheetData>
    <row r="2">
      <c r="B2" s="1" t="inlineStr">
        <is>
          <t>QUALITY AIRCRAFT ACCESSORIES</t>
        </is>
      </c>
    </row>
    <row r="3">
      <c r="B3" s="2" t="inlineStr">
        <is>
          <t>A Hartzell Engine Technologies Company</t>
        </is>
      </c>
    </row>
    <row r="5" ht="35" customHeight="1">
      <c r="B5" s="3" t="inlineStr">
        <is>
          <t>QUOTE SYSTEM v14.0</t>
        </is>
      </c>
    </row>
    <row r="7">
      <c r="B7" s="4" t="inlineStr">
        <is>
          <t>QUOTE TYPES:</t>
        </is>
      </c>
    </row>
    <row r="8">
      <c r="B8" s="5" t="inlineStr">
        <is>
          <t>500HR SERVICE</t>
        </is>
      </c>
      <c r="C8" s="5" t="inlineStr">
        <is>
          <t>CUST PROPERTY</t>
        </is>
      </c>
      <c r="D8" s="5" t="inlineStr">
        <is>
          <t>EXCHANGE/SALE</t>
        </is>
      </c>
    </row>
    <row r="9">
      <c r="B9" s="6" t="inlineStr">
        <is>
          <t>Magneto inspections</t>
        </is>
      </c>
      <c r="C9" s="6" t="inlineStr">
        <is>
          <t>Customer overhauls</t>
        </is>
      </c>
      <c r="D9" s="6" t="inlineStr">
        <is>
          <t>Exchange &amp; inventory</t>
        </is>
      </c>
    </row>
    <row r="10">
      <c r="B10" s="7" t="inlineStr"/>
      <c r="C10" s="7" t="inlineStr"/>
      <c r="D10" s="7" t="inlineStr"/>
    </row>
    <row r="12">
      <c r="B12" s="8" t="inlineStr">
        <is>
          <t>TOOLS &amp; TRACKING</t>
        </is>
      </c>
    </row>
    <row r="13">
      <c r="B13" s="9" t="inlineStr">
        <is>
          <t>Quote Tracker</t>
        </is>
      </c>
      <c r="C13" s="9" t="inlineStr">
        <is>
          <t>PO Tracking</t>
        </is>
      </c>
      <c r="D13" s="9" t="inlineStr">
        <is>
          <t>Infor XA Data</t>
        </is>
      </c>
      <c r="E13" s="9" t="inlineStr">
        <is>
          <t>Quick Reference</t>
        </is>
      </c>
    </row>
    <row r="14">
      <c r="B14" s="6" t="inlineStr">
        <is>
          <t>Track follow-ups &amp; status</t>
        </is>
      </c>
      <c r="C14" s="6" t="inlineStr">
        <is>
          <t>Order dates &amp; YTD</t>
        </is>
      </c>
      <c r="D14" s="6" t="inlineStr">
        <is>
          <t>Import inventory</t>
        </is>
      </c>
      <c r="E14" s="6" t="inlineStr">
        <is>
          <t>How-to guides</t>
        </is>
      </c>
    </row>
    <row r="15"/>
    <row r="17">
      <c r="B17" s="6" t="inlineStr">
        <is>
          <t>5746 E Apache St, Tulsa, OK 74115 | 918-835-6948 | sales@qaainc.com</t>
        </is>
      </c>
    </row>
  </sheetData>
  <mergeCells count="5">
    <mergeCell ref="B17:E17"/>
    <mergeCell ref="B12:E12"/>
    <mergeCell ref="B3:E3"/>
    <mergeCell ref="B5:E5"/>
    <mergeCell ref="B2:E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I36"/>
  <sheetViews>
    <sheetView workbookViewId="0">
      <selection activeCell="A1" sqref="A1"/>
    </sheetView>
  </sheetViews>
  <sheetFormatPr baseColWidth="8" defaultRowHeight="15"/>
  <cols>
    <col width="3" customWidth="1" min="1" max="1"/>
    <col width="15" customWidth="1" min="2" max="2"/>
    <col width="12" customWidth="1" min="3" max="3"/>
    <col width="26" customWidth="1" min="4" max="4"/>
    <col width="11" customWidth="1" min="5" max="5"/>
    <col width="9" customWidth="1" min="6" max="6"/>
    <col width="13" customWidth="1" min="7" max="7"/>
    <col width="11" customWidth="1" min="8" max="8"/>
    <col width="11" customWidth="1" min="9" max="9"/>
    <col width="3" customWidth="1" min="10" max="10"/>
  </cols>
  <sheetData>
    <row r="1">
      <c r="B1" s="10" t="inlineStr">
        <is>
          <t>QUALITY AIRCRAFT ACCESSORIES</t>
        </is>
      </c>
    </row>
    <row r="2" ht="28" customHeight="1">
      <c r="B2" s="11" t="inlineStr">
        <is>
          <t>500HR MAGNETO INSPECTION SERVICE QUOTE</t>
        </is>
      </c>
      <c r="C2" s="57" t="n"/>
      <c r="D2" s="57" t="n"/>
      <c r="E2" s="57" t="n"/>
      <c r="F2" s="57" t="n"/>
      <c r="G2" s="57" t="n"/>
      <c r="H2" s="57" t="n"/>
      <c r="I2" s="58" t="n"/>
    </row>
    <row r="4">
      <c r="B4" s="12" t="inlineStr">
        <is>
          <t>Quote #:</t>
        </is>
      </c>
      <c r="C4" s="13">
        <f>Config!B2&amp;"-"&amp;TEXT(Config!B3,"00000")</f>
        <v/>
      </c>
      <c r="E4" s="4" t="inlineStr">
        <is>
          <t>Date:</t>
        </is>
      </c>
      <c r="F4" t="inlineStr">
        <is>
          <t>01/10/2026</t>
        </is>
      </c>
      <c r="G4" s="4" t="inlineStr">
        <is>
          <t>Valid:</t>
        </is>
      </c>
      <c r="H4" t="inlineStr">
        <is>
          <t>30 Days</t>
        </is>
      </c>
    </row>
    <row r="5">
      <c r="B5" s="4" t="inlineStr">
        <is>
          <t>Order #:</t>
        </is>
      </c>
      <c r="C5" s="14" t="inlineStr"/>
      <c r="E5" s="4" t="inlineStr">
        <is>
          <t>Customer PO #:</t>
        </is>
      </c>
      <c r="F5" s="14" t="inlineStr"/>
      <c r="G5" s="58" t="n"/>
    </row>
    <row r="6">
      <c r="B6" s="4" t="inlineStr">
        <is>
          <t>Customer Email:</t>
        </is>
      </c>
      <c r="C6" s="14" t="inlineStr"/>
      <c r="D6" s="57" t="n"/>
      <c r="E6" s="58" t="n"/>
      <c r="F6" s="15" t="inlineStr">
        <is>
          <t>Approval?</t>
        </is>
      </c>
      <c r="G6" s="14" t="inlineStr">
        <is>
          <t>No</t>
        </is>
      </c>
    </row>
    <row r="7" ht="6" customHeight="1">
      <c r="B7" s="16" t="n"/>
      <c r="C7" s="16" t="n"/>
      <c r="D7" s="16" t="n"/>
      <c r="E7" s="16" t="n"/>
      <c r="F7" s="16" t="n"/>
      <c r="G7" s="16" t="n"/>
      <c r="H7" s="16" t="n"/>
      <c r="I7" s="16" t="n"/>
    </row>
    <row r="8" ht="24" customHeight="1">
      <c r="B8" s="17" t="inlineStr">
        <is>
          <t>Magneto P/N</t>
        </is>
      </c>
      <c r="C8" s="17" t="inlineStr">
        <is>
          <t>Serial #</t>
        </is>
      </c>
      <c r="D8" s="17" t="inlineStr">
        <is>
          <t>Description</t>
        </is>
      </c>
      <c r="E8" s="17" t="inlineStr">
        <is>
          <t>500HR $</t>
        </is>
      </c>
      <c r="F8" s="17" t="inlineStr">
        <is>
          <t>Ovhl?</t>
        </is>
      </c>
      <c r="G8" s="17" t="inlineStr">
        <is>
          <t>CO Part#</t>
        </is>
      </c>
      <c r="H8" s="17" t="inlineStr">
        <is>
          <t>CO $</t>
        </is>
      </c>
      <c r="I8" s="17" t="inlineStr">
        <is>
          <t>Total</t>
        </is>
      </c>
    </row>
    <row r="9">
      <c r="B9" s="14" t="inlineStr"/>
      <c r="C9" s="14" t="inlineStr"/>
      <c r="D9" s="18">
        <f>IF(B9="","",IFERROR(VLOOKUP(B9&amp;"5H",'Parts Master'!$A:$H,2,FALSE),IFERROR(VLOOKUP(B9,'Parts Master'!$A:$H,2,FALSE),"Not Found")))</f>
        <v/>
      </c>
      <c r="E9" s="19">
        <f>IF(B9="","",IFERROR(VLOOKUP(B9&amp;"5H",'Parts Master'!$A:$H,4,FALSE),Config!$B$5))</f>
        <v/>
      </c>
      <c r="F9" s="20" t="inlineStr"/>
      <c r="G9" s="18">
        <f>IF(F9="Yes",SUBSTITUTE(B9,"5H","")&amp;"-CO","")</f>
        <v/>
      </c>
      <c r="H9" s="19">
        <f>IF(G9="","",IFERROR(VLOOKUP(G9,'Parts Master'!$A:$H,4,FALSE),0))</f>
        <v/>
      </c>
      <c r="I9" s="19">
        <f>IF(B9="","",IF(F9="Yes",H9,E9))</f>
        <v/>
      </c>
    </row>
    <row r="10">
      <c r="B10" s="14" t="inlineStr"/>
      <c r="C10" s="14" t="inlineStr"/>
      <c r="D10" s="18">
        <f>IF(B10="","",IFERROR(VLOOKUP(B10&amp;"5H",'Parts Master'!$A:$H,2,FALSE),IFERROR(VLOOKUP(B10,'Parts Master'!$A:$H,2,FALSE),"Not Found")))</f>
        <v/>
      </c>
      <c r="E10" s="19">
        <f>IF(B10="","",IFERROR(VLOOKUP(B10&amp;"5H",'Parts Master'!$A:$H,4,FALSE),Config!$B$5))</f>
        <v/>
      </c>
      <c r="F10" s="20" t="inlineStr"/>
      <c r="G10" s="18">
        <f>IF(F10="Yes",SUBSTITUTE(B10,"5H","")&amp;"-CO","")</f>
        <v/>
      </c>
      <c r="H10" s="19">
        <f>IF(G10="","",IFERROR(VLOOKUP(G10,'Parts Master'!$A:$H,4,FALSE),0))</f>
        <v/>
      </c>
      <c r="I10" s="19">
        <f>IF(B10="","",IF(F10="Yes",H10,E10))</f>
        <v/>
      </c>
    </row>
    <row r="11">
      <c r="B11" s="14" t="inlineStr"/>
      <c r="C11" s="14" t="inlineStr"/>
      <c r="D11" s="18">
        <f>IF(B11="","",IFERROR(VLOOKUP(B11&amp;"5H",'Parts Master'!$A:$H,2,FALSE),IFERROR(VLOOKUP(B11,'Parts Master'!$A:$H,2,FALSE),"Not Found")))</f>
        <v/>
      </c>
      <c r="E11" s="19">
        <f>IF(B11="","",IFERROR(VLOOKUP(B11&amp;"5H",'Parts Master'!$A:$H,4,FALSE),Config!$B$5))</f>
        <v/>
      </c>
      <c r="F11" s="20" t="inlineStr"/>
      <c r="G11" s="18">
        <f>IF(F11="Yes",SUBSTITUTE(B11,"5H","")&amp;"-CO","")</f>
        <v/>
      </c>
      <c r="H11" s="19">
        <f>IF(G11="","",IFERROR(VLOOKUP(G11,'Parts Master'!$A:$H,4,FALSE),0))</f>
        <v/>
      </c>
      <c r="I11" s="19">
        <f>IF(B11="","",IF(F11="Yes",H11,E11))</f>
        <v/>
      </c>
    </row>
    <row r="12">
      <c r="B12" s="14" t="inlineStr"/>
      <c r="C12" s="14" t="inlineStr"/>
      <c r="D12" s="18">
        <f>IF(B12="","",IFERROR(VLOOKUP(B12&amp;"5H",'Parts Master'!$A:$H,2,FALSE),IFERROR(VLOOKUP(B12,'Parts Master'!$A:$H,2,FALSE),"Not Found")))</f>
        <v/>
      </c>
      <c r="E12" s="19">
        <f>IF(B12="","",IFERROR(VLOOKUP(B12&amp;"5H",'Parts Master'!$A:$H,4,FALSE),Config!$B$5))</f>
        <v/>
      </c>
      <c r="F12" s="20" t="inlineStr"/>
      <c r="G12" s="18">
        <f>IF(F12="Yes",SUBSTITUTE(B12,"5H","")&amp;"-CO","")</f>
        <v/>
      </c>
      <c r="H12" s="19">
        <f>IF(G12="","",IFERROR(VLOOKUP(G12,'Parts Master'!$A:$H,4,FALSE),0))</f>
        <v/>
      </c>
      <c r="I12" s="19">
        <f>IF(B12="","",IF(F12="Yes",H12,E12))</f>
        <v/>
      </c>
    </row>
    <row r="13">
      <c r="B13" s="14" t="inlineStr"/>
      <c r="C13" s="14" t="inlineStr"/>
      <c r="D13" s="18">
        <f>IF(B13="","",IFERROR(VLOOKUP(B13&amp;"5H",'Parts Master'!$A:$H,2,FALSE),IFERROR(VLOOKUP(B13,'Parts Master'!$A:$H,2,FALSE),"Not Found")))</f>
        <v/>
      </c>
      <c r="E13" s="19">
        <f>IF(B13="","",IFERROR(VLOOKUP(B13&amp;"5H",'Parts Master'!$A:$H,4,FALSE),Config!$B$5))</f>
        <v/>
      </c>
      <c r="F13" s="20" t="inlineStr"/>
      <c r="G13" s="18">
        <f>IF(F13="Yes",SUBSTITUTE(B13,"5H","")&amp;"-CO","")</f>
        <v/>
      </c>
      <c r="H13" s="19">
        <f>IF(G13="","",IFERROR(VLOOKUP(G13,'Parts Master'!$A:$H,4,FALSE),0))</f>
        <v/>
      </c>
      <c r="I13" s="19">
        <f>IF(B13="","",IF(F13="Yes",H13,E13))</f>
        <v/>
      </c>
    </row>
    <row r="14">
      <c r="B14" s="14" t="inlineStr"/>
      <c r="C14" s="14" t="inlineStr"/>
      <c r="D14" s="18">
        <f>IF(B14="","",IFERROR(VLOOKUP(B14&amp;"5H",'Parts Master'!$A:$H,2,FALSE),IFERROR(VLOOKUP(B14,'Parts Master'!$A:$H,2,FALSE),"Not Found")))</f>
        <v/>
      </c>
      <c r="E14" s="19">
        <f>IF(B14="","",IFERROR(VLOOKUP(B14&amp;"5H",'Parts Master'!$A:$H,4,FALSE),Config!$B$5))</f>
        <v/>
      </c>
      <c r="F14" s="20" t="inlineStr"/>
      <c r="G14" s="18">
        <f>IF(F14="Yes",SUBSTITUTE(B14,"5H","")&amp;"-CO","")</f>
        <v/>
      </c>
      <c r="H14" s="19">
        <f>IF(G14="","",IFERROR(VLOOKUP(G14,'Parts Master'!$A:$H,4,FALSE),0))</f>
        <v/>
      </c>
      <c r="I14" s="19">
        <f>IF(B14="","",IF(F14="Yes",H14,E14))</f>
        <v/>
      </c>
    </row>
    <row r="16">
      <c r="B16" s="21" t="inlineStr">
        <is>
          <t>INSPECTION FINDINGS</t>
        </is>
      </c>
    </row>
    <row r="17">
      <c r="B17" s="22" t="inlineStr">
        <is>
          <t>Coil</t>
        </is>
      </c>
      <c r="C17" s="22" t="inlineStr">
        <is>
          <t>Cap</t>
        </is>
      </c>
      <c r="D17" s="22" t="inlineStr">
        <is>
          <t>Dist</t>
        </is>
      </c>
      <c r="E17" s="22" t="inlineStr">
        <is>
          <t>Impulse</t>
        </is>
      </c>
      <c r="F17" s="22" t="inlineStr">
        <is>
          <t>Gear</t>
        </is>
      </c>
      <c r="G17" s="22" t="inlineStr">
        <is>
          <t>Points</t>
        </is>
      </c>
      <c r="H17" s="22" t="inlineStr">
        <is>
          <t>Brg</t>
        </is>
      </c>
      <c r="I17" s="22" t="inlineStr">
        <is>
          <t>Oil</t>
        </is>
      </c>
    </row>
    <row r="18">
      <c r="B18" s="23" t="inlineStr">
        <is>
          <t>☐</t>
        </is>
      </c>
      <c r="C18" s="23" t="inlineStr">
        <is>
          <t>☐</t>
        </is>
      </c>
      <c r="D18" s="23" t="inlineStr">
        <is>
          <t>☐</t>
        </is>
      </c>
      <c r="E18" s="23" t="inlineStr">
        <is>
          <t>☐</t>
        </is>
      </c>
      <c r="F18" s="23" t="inlineStr">
        <is>
          <t>☐</t>
        </is>
      </c>
      <c r="G18" s="23" t="inlineStr">
        <is>
          <t>☐</t>
        </is>
      </c>
      <c r="H18" s="23" t="inlineStr">
        <is>
          <t>☐</t>
        </is>
      </c>
      <c r="I18" s="23" t="inlineStr">
        <is>
          <t>☐</t>
        </is>
      </c>
    </row>
    <row r="19">
      <c r="B19" s="23" t="inlineStr">
        <is>
          <t>☐</t>
        </is>
      </c>
      <c r="C19" s="23" t="inlineStr">
        <is>
          <t>☐</t>
        </is>
      </c>
      <c r="D19" s="23" t="inlineStr">
        <is>
          <t>☐</t>
        </is>
      </c>
      <c r="E19" s="23" t="inlineStr">
        <is>
          <t>☐</t>
        </is>
      </c>
      <c r="F19" s="23" t="inlineStr">
        <is>
          <t>☐</t>
        </is>
      </c>
      <c r="G19" s="23" t="inlineStr">
        <is>
          <t>☐</t>
        </is>
      </c>
      <c r="H19" s="23" t="inlineStr">
        <is>
          <t>☐</t>
        </is>
      </c>
      <c r="I19" s="23" t="inlineStr">
        <is>
          <t>☐</t>
        </is>
      </c>
    </row>
    <row r="20">
      <c r="B20" s="23" t="inlineStr">
        <is>
          <t>☐</t>
        </is>
      </c>
      <c r="C20" s="23" t="inlineStr">
        <is>
          <t>☐</t>
        </is>
      </c>
      <c r="D20" s="23" t="inlineStr">
        <is>
          <t>☐</t>
        </is>
      </c>
      <c r="E20" s="23" t="inlineStr">
        <is>
          <t>☐</t>
        </is>
      </c>
      <c r="F20" s="23" t="inlineStr">
        <is>
          <t>☐</t>
        </is>
      </c>
      <c r="G20" s="23" t="inlineStr">
        <is>
          <t>☐</t>
        </is>
      </c>
      <c r="H20" s="23" t="inlineStr">
        <is>
          <t>☐</t>
        </is>
      </c>
      <c r="I20" s="23" t="inlineStr">
        <is>
          <t>☐</t>
        </is>
      </c>
    </row>
    <row r="21">
      <c r="B21" s="23" t="inlineStr">
        <is>
          <t>☐</t>
        </is>
      </c>
      <c r="C21" s="23" t="inlineStr">
        <is>
          <t>☐</t>
        </is>
      </c>
      <c r="D21" s="23" t="inlineStr">
        <is>
          <t>☐</t>
        </is>
      </c>
      <c r="E21" s="23" t="inlineStr">
        <is>
          <t>☐</t>
        </is>
      </c>
      <c r="F21" s="23" t="inlineStr">
        <is>
          <t>☐</t>
        </is>
      </c>
      <c r="G21" s="23" t="inlineStr">
        <is>
          <t>☐</t>
        </is>
      </c>
      <c r="H21" s="23" t="inlineStr">
        <is>
          <t>☐</t>
        </is>
      </c>
      <c r="I21" s="23" t="inlineStr">
        <is>
          <t>☐</t>
        </is>
      </c>
    </row>
    <row r="22">
      <c r="B22" s="23" t="inlineStr">
        <is>
          <t>☐</t>
        </is>
      </c>
      <c r="C22" s="23" t="inlineStr">
        <is>
          <t>☐</t>
        </is>
      </c>
      <c r="D22" s="23" t="inlineStr">
        <is>
          <t>☐</t>
        </is>
      </c>
      <c r="E22" s="23" t="inlineStr">
        <is>
          <t>☐</t>
        </is>
      </c>
      <c r="F22" s="23" t="inlineStr">
        <is>
          <t>☐</t>
        </is>
      </c>
      <c r="G22" s="23" t="inlineStr">
        <is>
          <t>☐</t>
        </is>
      </c>
      <c r="H22" s="23" t="inlineStr">
        <is>
          <t>☐</t>
        </is>
      </c>
      <c r="I22" s="23" t="inlineStr">
        <is>
          <t>☐</t>
        </is>
      </c>
    </row>
    <row r="23">
      <c r="B23" s="23" t="inlineStr">
        <is>
          <t>☐</t>
        </is>
      </c>
      <c r="C23" s="23" t="inlineStr">
        <is>
          <t>☐</t>
        </is>
      </c>
      <c r="D23" s="23" t="inlineStr">
        <is>
          <t>☐</t>
        </is>
      </c>
      <c r="E23" s="23" t="inlineStr">
        <is>
          <t>☐</t>
        </is>
      </c>
      <c r="F23" s="23" t="inlineStr">
        <is>
          <t>☐</t>
        </is>
      </c>
      <c r="G23" s="23" t="inlineStr">
        <is>
          <t>☐</t>
        </is>
      </c>
      <c r="H23" s="23" t="inlineStr">
        <is>
          <t>☐</t>
        </is>
      </c>
      <c r="I23" s="23" t="inlineStr">
        <is>
          <t>☐</t>
        </is>
      </c>
    </row>
    <row r="25">
      <c r="B25" t="inlineStr">
        <is>
          <t>Findings Fee:</t>
        </is>
      </c>
      <c r="D25" s="24">
        <f>SUMPRODUCT((B18:I23&lt;&gt;"☐")*1)/8*Config!$B$6</f>
        <v/>
      </c>
    </row>
    <row r="26">
      <c r="F26" s="4" t="inlineStr">
        <is>
          <t>Service Total:</t>
        </is>
      </c>
      <c r="I26" s="24">
        <f>SUMIF(F9:F14,"&lt;&gt;Yes",E9:E14)</f>
        <v/>
      </c>
    </row>
    <row r="27">
      <c r="F27" s="4" t="inlineStr">
        <is>
          <t>Overhaul Total:</t>
        </is>
      </c>
      <c r="I27" s="24">
        <f>SUMIF(F9:F14,"Yes",H9:H14)</f>
        <v/>
      </c>
    </row>
    <row r="28">
      <c r="F28" s="25" t="inlineStr">
        <is>
          <t>GRAND TOTAL:</t>
        </is>
      </c>
      <c r="H28" s="26">
        <f>I26+I27+D25</f>
        <v/>
      </c>
      <c r="I28" s="59" t="n"/>
    </row>
    <row r="30">
      <c r="B30" s="4" t="inlineStr">
        <is>
          <t>Notes:</t>
        </is>
      </c>
    </row>
    <row r="31">
      <c r="B31" s="14" t="inlineStr"/>
      <c r="C31" s="60" t="n"/>
      <c r="D31" s="60" t="n"/>
      <c r="E31" s="60" t="n"/>
      <c r="F31" s="60" t="n"/>
      <c r="G31" s="60" t="n"/>
      <c r="H31" s="60" t="n"/>
      <c r="I31" s="61" t="n"/>
    </row>
    <row r="32">
      <c r="B32" s="62" t="n"/>
      <c r="C32" s="63" t="n"/>
      <c r="D32" s="63" t="n"/>
      <c r="E32" s="63" t="n"/>
      <c r="F32" s="63" t="n"/>
      <c r="G32" s="63" t="n"/>
      <c r="H32" s="63" t="n"/>
      <c r="I32" s="64" t="n"/>
    </row>
    <row r="34">
      <c r="B34" s="6" t="inlineStr">
        <is>
          <t>5746 E Apache St, Tulsa, OK 74115 | 918-835-6948 | sales@qaainc.com | qaa.com</t>
        </is>
      </c>
    </row>
    <row r="36" ht="30" customHeight="1">
      <c r="B36" s="27" t="inlineStr"/>
      <c r="D36" s="27" t="inlineStr"/>
      <c r="F36" s="27" t="inlineStr"/>
      <c r="H36" s="27" t="inlineStr"/>
    </row>
  </sheetData>
  <mergeCells count="9">
    <mergeCell ref="B16:I16"/>
    <mergeCell ref="B2:I2"/>
    <mergeCell ref="B34:I34"/>
    <mergeCell ref="F5:G5"/>
    <mergeCell ref="F28:G28"/>
    <mergeCell ref="H28:I28"/>
    <mergeCell ref="B31:I32"/>
    <mergeCell ref="B1:I1"/>
    <mergeCell ref="C6:E6"/>
  </mergeCells>
  <dataValidations count="1">
    <dataValidation sqref="F9 F10 F11 F12 F13 F14 G6" showDropDown="0" showInputMessage="0" showErrorMessage="0" allowBlank="0" type="list">
      <formula1>"Yes,No"</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6" customWidth="1" min="1" max="1"/>
    <col width="15" customWidth="1" min="2" max="2"/>
    <col width="22" customWidth="1" min="3" max="3"/>
    <col width="10" customWidth="1" min="4" max="4"/>
    <col width="10" customWidth="1" min="5" max="5"/>
    <col width="10" customWidth="1" min="6" max="6"/>
    <col width="10" customWidth="1" min="7" max="7"/>
    <col width="8" customWidth="1" min="8" max="8"/>
    <col width="10" customWidth="1" min="9" max="9"/>
  </cols>
  <sheetData>
    <row r="1">
      <c r="B1" s="10" t="inlineStr">
        <is>
          <t>QUALITY AIRCRAFT ACCESSORIES</t>
        </is>
      </c>
    </row>
    <row r="2" ht="28" customHeight="1">
      <c r="B2" s="11" t="inlineStr">
        <is>
          <t>CUSTOMER PROPERTY OVERHAUL QUOTE</t>
        </is>
      </c>
      <c r="C2" s="57" t="n"/>
      <c r="D2" s="57" t="n"/>
      <c r="E2" s="57" t="n"/>
      <c r="F2" s="57" t="n"/>
      <c r="G2" s="57" t="n"/>
      <c r="H2" s="58" t="n"/>
    </row>
    <row r="4">
      <c r="B4" s="4" t="inlineStr">
        <is>
          <t>Quote #:</t>
        </is>
      </c>
      <c r="C4" s="13">
        <f>Config!B2&amp;"-"&amp;TEXT(Config!B3,"00000")</f>
        <v/>
      </c>
      <c r="E4" s="4" t="inlineStr">
        <is>
          <t>Date:</t>
        </is>
      </c>
      <c r="F4" t="inlineStr">
        <is>
          <t>01/10/2026</t>
        </is>
      </c>
      <c r="G4" s="4" t="inlineStr">
        <is>
          <t>Updated:</t>
        </is>
      </c>
      <c r="H4" s="14" t="inlineStr"/>
    </row>
    <row r="5">
      <c r="B5" s="4" t="inlineStr">
        <is>
          <t>Order #:</t>
        </is>
      </c>
      <c r="C5" s="14" t="inlineStr"/>
      <c r="E5" s="4" t="inlineStr">
        <is>
          <t>Customer PO #:</t>
        </is>
      </c>
      <c r="F5" s="14" t="inlineStr"/>
      <c r="G5" s="58" t="n"/>
    </row>
    <row r="6">
      <c r="B6" s="4" t="inlineStr">
        <is>
          <t>Customer Email:</t>
        </is>
      </c>
      <c r="C6" s="14" t="inlineStr"/>
      <c r="D6" s="57" t="n"/>
      <c r="E6" s="58" t="n"/>
      <c r="F6" s="4" t="inlineStr">
        <is>
          <t>Tier:</t>
        </is>
      </c>
      <c r="G6" s="14" t="inlineStr">
        <is>
          <t>Standard</t>
        </is>
      </c>
    </row>
    <row r="7">
      <c r="B7" s="15" t="inlineStr">
        <is>
          <t>Needs:</t>
        </is>
      </c>
      <c r="C7" t="inlineStr">
        <is>
          <t>Approval?</t>
        </is>
      </c>
      <c r="D7" s="14" t="inlineStr">
        <is>
          <t>No</t>
        </is>
      </c>
      <c r="E7" t="inlineStr">
        <is>
          <t>Ship?</t>
        </is>
      </c>
      <c r="F7" s="14" t="inlineStr">
        <is>
          <t>No</t>
        </is>
      </c>
      <c r="G7" t="inlineStr">
        <is>
          <t>Pay?</t>
        </is>
      </c>
      <c r="H7" s="14" t="inlineStr">
        <is>
          <t>No</t>
        </is>
      </c>
    </row>
    <row r="8" ht="6" customHeight="1"/>
    <row r="9">
      <c r="B9" s="17" t="inlineStr">
        <is>
          <t>Unit P/N</t>
        </is>
      </c>
      <c r="C9" s="17" t="inlineStr">
        <is>
          <t>Description</t>
        </is>
      </c>
      <c r="D9" s="17" t="inlineStr">
        <is>
          <t>Type</t>
        </is>
      </c>
      <c r="E9" s="17" t="inlineStr">
        <is>
          <t>Base $</t>
        </is>
      </c>
      <c r="F9" s="17" t="inlineStr">
        <is>
          <t>Your $</t>
        </is>
      </c>
      <c r="G9" s="17" t="inlineStr">
        <is>
          <t>Exch Cap</t>
        </is>
      </c>
    </row>
    <row r="10">
      <c r="B10" s="14" t="inlineStr"/>
      <c r="C10" s="18">
        <f>IF(B10="","",IFERROR(VLOOKUP(B10,'Parts Master'!$A:$H,2,FALSE),"Not Found"))</f>
        <v/>
      </c>
      <c r="D10" s="28">
        <f>IF(B10="","",IF(COUNTIF(BOM!$A:$A,SUBSTITUTE(B10,"-CO",""))&gt;0,"In-House","Vendor"))</f>
        <v/>
      </c>
      <c r="E10" s="29" t="inlineStr"/>
      <c r="F10" s="19">
        <f>IF(E10="","",E10*(1-VLOOKUP($G$6,Config!$A$10:$B$13,2,FALSE)))</f>
        <v/>
      </c>
      <c r="G10" s="19">
        <f>IF(B10="","",IFERROR(VLOOKUP(SUBSTITUTE(B10,"-CO","-OH"),'Parts Master'!$A:$H,4,FALSE),"N/A"))</f>
        <v/>
      </c>
    </row>
    <row r="11">
      <c r="B11" s="14" t="inlineStr"/>
      <c r="C11" s="18">
        <f>IF(B11="","",IFERROR(VLOOKUP(B11,'Parts Master'!$A:$H,2,FALSE),"Not Found"))</f>
        <v/>
      </c>
      <c r="D11" s="28">
        <f>IF(B11="","",IF(COUNTIF(BOM!$A:$A,SUBSTITUTE(B11,"-CO",""))&gt;0,"In-House","Vendor"))</f>
        <v/>
      </c>
      <c r="E11" s="29" t="inlineStr"/>
      <c r="F11" s="19">
        <f>IF(E11="","",E11*(1-VLOOKUP($G$6,Config!$A$10:$B$13,2,FALSE)))</f>
        <v/>
      </c>
      <c r="G11" s="19">
        <f>IF(B11="","",IFERROR(VLOOKUP(SUBSTITUTE(B11,"-CO","-OH"),'Parts Master'!$A:$H,4,FALSE),"N/A"))</f>
        <v/>
      </c>
    </row>
    <row r="12">
      <c r="B12" s="14" t="inlineStr"/>
      <c r="C12" s="18">
        <f>IF(B12="","",IFERROR(VLOOKUP(B12,'Parts Master'!$A:$H,2,FALSE),"Not Found"))</f>
        <v/>
      </c>
      <c r="D12" s="28">
        <f>IF(B12="","",IF(COUNTIF(BOM!$A:$A,SUBSTITUTE(B12,"-CO",""))&gt;0,"In-House","Vendor"))</f>
        <v/>
      </c>
      <c r="E12" s="29" t="inlineStr"/>
      <c r="F12" s="19">
        <f>IF(E12="","",E12*(1-VLOOKUP($G$6,Config!$A$10:$B$13,2,FALSE)))</f>
        <v/>
      </c>
      <c r="G12" s="19">
        <f>IF(B12="","",IFERROR(VLOOKUP(SUBSTITUTE(B12,"-CO","-OH"),'Parts Master'!$A:$H,4,FALSE),"N/A"))</f>
        <v/>
      </c>
    </row>
    <row r="13">
      <c r="B13" s="14" t="inlineStr"/>
      <c r="C13" s="18">
        <f>IF(B13="","",IFERROR(VLOOKUP(B13,'Parts Master'!$A:$H,2,FALSE),"Not Found"))</f>
        <v/>
      </c>
      <c r="D13" s="28">
        <f>IF(B13="","",IF(COUNTIF(BOM!$A:$A,SUBSTITUTE(B13,"-CO",""))&gt;0,"In-House","Vendor"))</f>
        <v/>
      </c>
      <c r="E13" s="29" t="inlineStr"/>
      <c r="F13" s="19">
        <f>IF(E13="","",E13*(1-VLOOKUP($G$6,Config!$A$10:$B$13,2,FALSE)))</f>
        <v/>
      </c>
      <c r="G13" s="19">
        <f>IF(B13="","",IFERROR(VLOOKUP(SUBSTITUTE(B13,"-CO","-OH"),'Parts Master'!$A:$H,4,FALSE),"N/A"))</f>
        <v/>
      </c>
    </row>
    <row r="15">
      <c r="B15" s="30" t="inlineStr">
        <is>
          <t>OVER &amp; ABOVE PARTS</t>
        </is>
      </c>
    </row>
    <row r="16">
      <c r="A16" s="31" t="inlineStr">
        <is>
          <t>#</t>
        </is>
      </c>
      <c r="B16" s="31" t="inlineStr">
        <is>
          <t>Part #</t>
        </is>
      </c>
      <c r="C16" s="31" t="inlineStr">
        <is>
          <t>Description</t>
        </is>
      </c>
      <c r="D16" s="31" t="inlineStr">
        <is>
          <t>Qty</t>
        </is>
      </c>
      <c r="E16" s="31" t="inlineStr">
        <is>
          <t>Unit $</t>
        </is>
      </c>
      <c r="F16" s="31" t="inlineStr">
        <is>
          <t>Ext $</t>
        </is>
      </c>
      <c r="G16" s="31" t="inlineStr">
        <is>
          <t>Status</t>
        </is>
      </c>
    </row>
    <row r="17">
      <c r="A17" s="14" t="inlineStr"/>
      <c r="B17" s="14" t="inlineStr"/>
      <c r="C17" s="18">
        <f>IF(B17="","",IFERROR(VLOOKUP(B17,'Parts Master'!$A:$H,2,FALSE),""))</f>
        <v/>
      </c>
      <c r="D17" s="20" t="inlineStr"/>
      <c r="E17" s="19">
        <f>IF(B17="","",IFERROR(VLOOKUP(B17,'Parts Master'!$A:$H,4,FALSE),0))</f>
        <v/>
      </c>
      <c r="F17" s="19">
        <f>IF(D17="","",E17*D17)</f>
        <v/>
      </c>
      <c r="G17" s="14" t="inlineStr"/>
    </row>
    <row r="18">
      <c r="A18" s="14" t="inlineStr"/>
      <c r="B18" s="14" t="inlineStr"/>
      <c r="C18" s="18">
        <f>IF(B18="","",IFERROR(VLOOKUP(B18,'Parts Master'!$A:$H,2,FALSE),""))</f>
        <v/>
      </c>
      <c r="D18" s="20" t="inlineStr"/>
      <c r="E18" s="19">
        <f>IF(B18="","",IFERROR(VLOOKUP(B18,'Parts Master'!$A:$H,4,FALSE),0))</f>
        <v/>
      </c>
      <c r="F18" s="19">
        <f>IF(D18="","",E18*D18)</f>
        <v/>
      </c>
      <c r="G18" s="14" t="inlineStr"/>
    </row>
    <row r="19">
      <c r="A19" s="14" t="inlineStr"/>
      <c r="B19" s="14" t="inlineStr"/>
      <c r="C19" s="18">
        <f>IF(B19="","",IFERROR(VLOOKUP(B19,'Parts Master'!$A:$H,2,FALSE),""))</f>
        <v/>
      </c>
      <c r="D19" s="20" t="inlineStr"/>
      <c r="E19" s="19">
        <f>IF(B19="","",IFERROR(VLOOKUP(B19,'Parts Master'!$A:$H,4,FALSE),0))</f>
        <v/>
      </c>
      <c r="F19" s="19">
        <f>IF(D19="","",E19*D19)</f>
        <v/>
      </c>
      <c r="G19" s="14" t="inlineStr"/>
    </row>
    <row r="20">
      <c r="A20" s="14" t="inlineStr"/>
      <c r="B20" s="14" t="inlineStr"/>
      <c r="C20" s="18">
        <f>IF(B20="","",IFERROR(VLOOKUP(B20,'Parts Master'!$A:$H,2,FALSE),""))</f>
        <v/>
      </c>
      <c r="D20" s="20" t="inlineStr"/>
      <c r="E20" s="19">
        <f>IF(B20="","",IFERROR(VLOOKUP(B20,'Parts Master'!$A:$H,4,FALSE),0))</f>
        <v/>
      </c>
      <c r="F20" s="19">
        <f>IF(D20="","",E20*D20)</f>
        <v/>
      </c>
      <c r="G20" s="14" t="inlineStr"/>
    </row>
    <row r="21">
      <c r="A21" s="14" t="inlineStr"/>
      <c r="B21" s="14" t="inlineStr"/>
      <c r="C21" s="18">
        <f>IF(B21="","",IFERROR(VLOOKUP(B21,'Parts Master'!$A:$H,2,FALSE),""))</f>
        <v/>
      </c>
      <c r="D21" s="20" t="inlineStr"/>
      <c r="E21" s="19">
        <f>IF(B21="","",IFERROR(VLOOKUP(B21,'Parts Master'!$A:$H,4,FALSE),0))</f>
        <v/>
      </c>
      <c r="F21" s="19">
        <f>IF(D21="","",E21*D21)</f>
        <v/>
      </c>
      <c r="G21" s="14" t="inlineStr"/>
    </row>
    <row r="22">
      <c r="A22" s="14" t="inlineStr"/>
      <c r="B22" s="14" t="inlineStr"/>
      <c r="C22" s="18">
        <f>IF(B22="","",IFERROR(VLOOKUP(B22,'Parts Master'!$A:$H,2,FALSE),""))</f>
        <v/>
      </c>
      <c r="D22" s="20" t="inlineStr"/>
      <c r="E22" s="19">
        <f>IF(B22="","",IFERROR(VLOOKUP(B22,'Parts Master'!$A:$H,4,FALSE),0))</f>
        <v/>
      </c>
      <c r="F22" s="19">
        <f>IF(D22="","",E22*D22)</f>
        <v/>
      </c>
      <c r="G22" s="14" t="inlineStr"/>
    </row>
    <row r="23">
      <c r="A23" s="14" t="inlineStr"/>
      <c r="B23" s="14" t="inlineStr"/>
      <c r="C23" s="18">
        <f>IF(B23="","",IFERROR(VLOOKUP(B23,'Parts Master'!$A:$H,2,FALSE),""))</f>
        <v/>
      </c>
      <c r="D23" s="20" t="inlineStr"/>
      <c r="E23" s="19">
        <f>IF(B23="","",IFERROR(VLOOKUP(B23,'Parts Master'!$A:$H,4,FALSE),0))</f>
        <v/>
      </c>
      <c r="F23" s="19">
        <f>IF(D23="","",E23*D23)</f>
        <v/>
      </c>
      <c r="G23" s="14" t="inlineStr"/>
    </row>
    <row r="24">
      <c r="A24" s="14" t="inlineStr"/>
      <c r="B24" s="14" t="inlineStr"/>
      <c r="C24" s="18">
        <f>IF(B24="","",IFERROR(VLOOKUP(B24,'Parts Master'!$A:$H,2,FALSE),""))</f>
        <v/>
      </c>
      <c r="D24" s="20" t="inlineStr"/>
      <c r="E24" s="19">
        <f>IF(B24="","",IFERROR(VLOOKUP(B24,'Parts Master'!$A:$H,4,FALSE),0))</f>
        <v/>
      </c>
      <c r="F24" s="19">
        <f>IF(D24="","",E24*D24)</f>
        <v/>
      </c>
      <c r="G24" s="14" t="inlineStr"/>
    </row>
    <row r="26">
      <c r="E26" s="4" t="inlineStr">
        <is>
          <t>Labor:</t>
        </is>
      </c>
      <c r="F26" s="24">
        <f>SUM(F10:F13)</f>
        <v/>
      </c>
    </row>
    <row r="27">
      <c r="E27" s="4" t="inlineStr">
        <is>
          <t>Parts:</t>
        </is>
      </c>
      <c r="F27" s="24">
        <f>SUM(F17:F24)</f>
        <v/>
      </c>
    </row>
    <row r="28">
      <c r="E28" s="32" t="inlineStr">
        <is>
          <t>TOTAL:</t>
        </is>
      </c>
      <c r="F28" s="33">
        <f>F26+F27</f>
        <v/>
      </c>
    </row>
    <row r="30">
      <c r="B30" t="inlineStr">
        <is>
          <t>Notes:</t>
        </is>
      </c>
    </row>
    <row r="31">
      <c r="B31" s="14" t="inlineStr"/>
      <c r="C31" s="60" t="n"/>
      <c r="D31" s="60" t="n"/>
      <c r="E31" s="60" t="n"/>
      <c r="F31" s="60" t="n"/>
      <c r="G31" s="61" t="n"/>
    </row>
    <row r="32">
      <c r="B32" s="62" t="n"/>
      <c r="C32" s="63" t="n"/>
      <c r="D32" s="63" t="n"/>
      <c r="E32" s="63" t="n"/>
      <c r="F32" s="63" t="n"/>
      <c r="G32" s="64" t="n"/>
    </row>
    <row r="34">
      <c r="B34" s="6" t="inlineStr">
        <is>
          <t>918-835-6948 | sales@qaainc.com | qaa.com</t>
        </is>
      </c>
    </row>
    <row r="36" ht="30" customHeight="1">
      <c r="B36" s="34" t="inlineStr"/>
      <c r="D36" s="34" t="inlineStr"/>
      <c r="F36" s="34" t="inlineStr"/>
      <c r="H36" s="34" t="inlineStr"/>
    </row>
  </sheetData>
  <mergeCells count="7">
    <mergeCell ref="B34:G34"/>
    <mergeCell ref="B1:H1"/>
    <mergeCell ref="F5:G5"/>
    <mergeCell ref="B31:G32"/>
    <mergeCell ref="B2:H2"/>
    <mergeCell ref="B15:H15"/>
    <mergeCell ref="C6:E6"/>
  </mergeCells>
  <dataValidations count="2">
    <dataValidation sqref="G6" showDropDown="0" showInputMessage="0" showErrorMessage="0" allowBlank="0" type="list">
      <formula1>"Standard,Tier 1,Tier 2,Tier 3"</formula1>
    </dataValidation>
    <dataValidation sqref="D7 F7 H7" showDropDown="0" showInputMessage="0" showErrorMessage="0" allowBlank="0" type="list">
      <formula1>"Yes,No"</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15" customWidth="1" min="1" max="1"/>
    <col width="22" customWidth="1" min="2" max="2"/>
    <col width="6" customWidth="1" min="3" max="3"/>
    <col width="5" customWidth="1" min="4" max="4"/>
    <col width="10" customWidth="1" min="5" max="5"/>
    <col width="10" customWidth="1" min="6" max="6"/>
    <col width="10" customWidth="1" min="7" max="7"/>
    <col width="10" customWidth="1" min="8" max="8"/>
    <col width="7" customWidth="1" min="9" max="9"/>
    <col width="9" customWidth="1" min="10" max="10"/>
  </cols>
  <sheetData>
    <row r="1">
      <c r="A1" s="10" t="inlineStr">
        <is>
          <t>QUALITY AIRCRAFT ACCESSORIES</t>
        </is>
      </c>
    </row>
    <row r="2" ht="28" customHeight="1">
      <c r="A2" s="11" t="inlineStr">
        <is>
          <t>EXCHANGE / INVENTORY SALE QUOTE</t>
        </is>
      </c>
      <c r="B2" s="57" t="n"/>
      <c r="C2" s="57" t="n"/>
      <c r="D2" s="57" t="n"/>
      <c r="E2" s="57" t="n"/>
      <c r="F2" s="57" t="n"/>
      <c r="G2" s="57" t="n"/>
      <c r="H2" s="57" t="n"/>
      <c r="I2" s="57" t="n"/>
      <c r="J2" s="58" t="n"/>
    </row>
    <row r="4">
      <c r="A4" s="4" t="inlineStr">
        <is>
          <t>Quote #:</t>
        </is>
      </c>
      <c r="B4" s="4">
        <f>Config!B2&amp;"-"&amp;TEXT(Config!B3,"00000")</f>
        <v/>
      </c>
      <c r="D4" t="inlineStr">
        <is>
          <t>Date:</t>
        </is>
      </c>
      <c r="E4" t="inlineStr">
        <is>
          <t>01/10/2026</t>
        </is>
      </c>
      <c r="G4" t="inlineStr">
        <is>
          <t>Valid: 30 Days</t>
        </is>
      </c>
    </row>
    <row r="5">
      <c r="A5" s="4" t="inlineStr">
        <is>
          <t>Customer Email:</t>
        </is>
      </c>
      <c r="B5" s="14" t="inlineStr"/>
      <c r="C5" s="57" t="n"/>
      <c r="D5" s="58" t="n"/>
      <c r="F5" t="inlineStr">
        <is>
          <t>Tier:</t>
        </is>
      </c>
      <c r="G5" s="14" t="inlineStr">
        <is>
          <t>Standard</t>
        </is>
      </c>
    </row>
    <row r="6">
      <c r="A6" t="inlineStr">
        <is>
          <t>Approval?</t>
        </is>
      </c>
      <c r="B6" s="14" t="inlineStr">
        <is>
          <t>No</t>
        </is>
      </c>
      <c r="C6" t="inlineStr">
        <is>
          <t>Ship?</t>
        </is>
      </c>
      <c r="D6" s="14" t="inlineStr">
        <is>
          <t>No</t>
        </is>
      </c>
      <c r="E6" t="inlineStr">
        <is>
          <t>Pay?</t>
        </is>
      </c>
      <c r="F6" s="14" t="inlineStr">
        <is>
          <t>No</t>
        </is>
      </c>
      <c r="G6" t="inlineStr">
        <is>
          <t>Core In Hand?</t>
        </is>
      </c>
      <c r="H6" s="14" t="inlineStr">
        <is>
          <t>No</t>
        </is>
      </c>
    </row>
    <row r="8">
      <c r="A8" s="17" t="inlineStr">
        <is>
          <t>Part #</t>
        </is>
      </c>
      <c r="B8" s="17" t="inlineStr">
        <is>
          <t>Description</t>
        </is>
      </c>
      <c r="C8" s="17" t="inlineStr">
        <is>
          <t>Cond</t>
        </is>
      </c>
      <c r="D8" s="17" t="inlineStr">
        <is>
          <t>Qty</t>
        </is>
      </c>
      <c r="E8" s="17" t="inlineStr">
        <is>
          <t>List $</t>
        </is>
      </c>
      <c r="F8" s="17" t="inlineStr">
        <is>
          <t>Your $</t>
        </is>
      </c>
      <c r="G8" s="17" t="inlineStr">
        <is>
          <t>Ext $</t>
        </is>
      </c>
      <c r="H8" s="17" t="inlineStr">
        <is>
          <t>Core $</t>
        </is>
      </c>
      <c r="I8" s="17" t="inlineStr">
        <is>
          <t>Stock</t>
        </is>
      </c>
      <c r="J8" s="17" t="inlineStr">
        <is>
          <t>Lead</t>
        </is>
      </c>
    </row>
    <row r="9">
      <c r="A9" s="14" t="inlineStr"/>
      <c r="B9" s="18">
        <f>IF(A9="","",IFERROR(VLOOKUP(A9,'Parts Master'!$A:$H,2,FALSE),"Not Found"))</f>
        <v/>
      </c>
      <c r="C9" s="18">
        <f>IF(A9="","",IFERROR(VLOOKUP(A9,'Parts Master'!$A:$H,3,FALSE),""))</f>
        <v/>
      </c>
      <c r="D9" s="20" t="inlineStr"/>
      <c r="E9" s="19">
        <f>IF(A9="","",IFERROR(VLOOKUP(A9,'Parts Master'!$A:$H,4,FALSE),0))</f>
        <v/>
      </c>
      <c r="F9" s="19">
        <f>IF(E9="","",E9*(1-VLOOKUP($G$5,Config!$A$10:$B$13,2,FALSE)))</f>
        <v/>
      </c>
      <c r="G9" s="19">
        <f>IF(D9="","",F9*D9)</f>
        <v/>
      </c>
      <c r="H9" s="19">
        <f>IF(A9="","",IF($H$6="Yes",0,IFERROR(VLOOKUP(A9,'Parts Master'!$A:$H,5,FALSE),0)*D9))</f>
        <v/>
      </c>
      <c r="I9" s="18">
        <f>IF(A9="","",IFERROR(VLOOKUP(A9,'Parts Master'!$A:$H,6,FALSE),""))</f>
        <v/>
      </c>
      <c r="J9" s="18">
        <f>IF(A9="","",IFERROR(VLOOKUP(A9,'Parts Master'!$A:$H,7,FALSE),""))</f>
        <v/>
      </c>
    </row>
    <row r="10">
      <c r="A10" s="14" t="inlineStr"/>
      <c r="B10" s="18">
        <f>IF(A10="","",IFERROR(VLOOKUP(A10,'Parts Master'!$A:$H,2,FALSE),"Not Found"))</f>
        <v/>
      </c>
      <c r="C10" s="18">
        <f>IF(A10="","",IFERROR(VLOOKUP(A10,'Parts Master'!$A:$H,3,FALSE),""))</f>
        <v/>
      </c>
      <c r="D10" s="20" t="inlineStr"/>
      <c r="E10" s="19">
        <f>IF(A10="","",IFERROR(VLOOKUP(A10,'Parts Master'!$A:$H,4,FALSE),0))</f>
        <v/>
      </c>
      <c r="F10" s="19">
        <f>IF(E10="","",E10*(1-VLOOKUP($G$5,Config!$A$10:$B$13,2,FALSE)))</f>
        <v/>
      </c>
      <c r="G10" s="19">
        <f>IF(D10="","",F10*D10)</f>
        <v/>
      </c>
      <c r="H10" s="19">
        <f>IF(A10="","",IF($H$6="Yes",0,IFERROR(VLOOKUP(A10,'Parts Master'!$A:$H,5,FALSE),0)*D10))</f>
        <v/>
      </c>
      <c r="I10" s="18">
        <f>IF(A10="","",IFERROR(VLOOKUP(A10,'Parts Master'!$A:$H,6,FALSE),""))</f>
        <v/>
      </c>
      <c r="J10" s="18">
        <f>IF(A10="","",IFERROR(VLOOKUP(A10,'Parts Master'!$A:$H,7,FALSE),""))</f>
        <v/>
      </c>
    </row>
    <row r="11">
      <c r="A11" s="14" t="inlineStr"/>
      <c r="B11" s="18">
        <f>IF(A11="","",IFERROR(VLOOKUP(A11,'Parts Master'!$A:$H,2,FALSE),"Not Found"))</f>
        <v/>
      </c>
      <c r="C11" s="18">
        <f>IF(A11="","",IFERROR(VLOOKUP(A11,'Parts Master'!$A:$H,3,FALSE),""))</f>
        <v/>
      </c>
      <c r="D11" s="20" t="inlineStr"/>
      <c r="E11" s="19">
        <f>IF(A11="","",IFERROR(VLOOKUP(A11,'Parts Master'!$A:$H,4,FALSE),0))</f>
        <v/>
      </c>
      <c r="F11" s="19">
        <f>IF(E11="","",E11*(1-VLOOKUP($G$5,Config!$A$10:$B$13,2,FALSE)))</f>
        <v/>
      </c>
      <c r="G11" s="19">
        <f>IF(D11="","",F11*D11)</f>
        <v/>
      </c>
      <c r="H11" s="19">
        <f>IF(A11="","",IF($H$6="Yes",0,IFERROR(VLOOKUP(A11,'Parts Master'!$A:$H,5,FALSE),0)*D11))</f>
        <v/>
      </c>
      <c r="I11" s="18">
        <f>IF(A11="","",IFERROR(VLOOKUP(A11,'Parts Master'!$A:$H,6,FALSE),""))</f>
        <v/>
      </c>
      <c r="J11" s="18">
        <f>IF(A11="","",IFERROR(VLOOKUP(A11,'Parts Master'!$A:$H,7,FALSE),""))</f>
        <v/>
      </c>
    </row>
    <row r="12">
      <c r="A12" s="14" t="inlineStr"/>
      <c r="B12" s="18">
        <f>IF(A12="","",IFERROR(VLOOKUP(A12,'Parts Master'!$A:$H,2,FALSE),"Not Found"))</f>
        <v/>
      </c>
      <c r="C12" s="18">
        <f>IF(A12="","",IFERROR(VLOOKUP(A12,'Parts Master'!$A:$H,3,FALSE),""))</f>
        <v/>
      </c>
      <c r="D12" s="20" t="inlineStr"/>
      <c r="E12" s="19">
        <f>IF(A12="","",IFERROR(VLOOKUP(A12,'Parts Master'!$A:$H,4,FALSE),0))</f>
        <v/>
      </c>
      <c r="F12" s="19">
        <f>IF(E12="","",E12*(1-VLOOKUP($G$5,Config!$A$10:$B$13,2,FALSE)))</f>
        <v/>
      </c>
      <c r="G12" s="19">
        <f>IF(D12="","",F12*D12)</f>
        <v/>
      </c>
      <c r="H12" s="19">
        <f>IF(A12="","",IF($H$6="Yes",0,IFERROR(VLOOKUP(A12,'Parts Master'!$A:$H,5,FALSE),0)*D12))</f>
        <v/>
      </c>
      <c r="I12" s="18">
        <f>IF(A12="","",IFERROR(VLOOKUP(A12,'Parts Master'!$A:$H,6,FALSE),""))</f>
        <v/>
      </c>
      <c r="J12" s="18">
        <f>IF(A12="","",IFERROR(VLOOKUP(A12,'Parts Master'!$A:$H,7,FALSE),""))</f>
        <v/>
      </c>
    </row>
    <row r="13">
      <c r="A13" s="14" t="inlineStr"/>
      <c r="B13" s="18">
        <f>IF(A13="","",IFERROR(VLOOKUP(A13,'Parts Master'!$A:$H,2,FALSE),"Not Found"))</f>
        <v/>
      </c>
      <c r="C13" s="18">
        <f>IF(A13="","",IFERROR(VLOOKUP(A13,'Parts Master'!$A:$H,3,FALSE),""))</f>
        <v/>
      </c>
      <c r="D13" s="20" t="inlineStr"/>
      <c r="E13" s="19">
        <f>IF(A13="","",IFERROR(VLOOKUP(A13,'Parts Master'!$A:$H,4,FALSE),0))</f>
        <v/>
      </c>
      <c r="F13" s="19">
        <f>IF(E13="","",E13*(1-VLOOKUP($G$5,Config!$A$10:$B$13,2,FALSE)))</f>
        <v/>
      </c>
      <c r="G13" s="19">
        <f>IF(D13="","",F13*D13)</f>
        <v/>
      </c>
      <c r="H13" s="19">
        <f>IF(A13="","",IF($H$6="Yes",0,IFERROR(VLOOKUP(A13,'Parts Master'!$A:$H,5,FALSE),0)*D13))</f>
        <v/>
      </c>
      <c r="I13" s="18">
        <f>IF(A13="","",IFERROR(VLOOKUP(A13,'Parts Master'!$A:$H,6,FALSE),""))</f>
        <v/>
      </c>
      <c r="J13" s="18">
        <f>IF(A13="","",IFERROR(VLOOKUP(A13,'Parts Master'!$A:$H,7,FALSE),""))</f>
        <v/>
      </c>
    </row>
    <row r="14">
      <c r="A14" s="14" t="inlineStr"/>
      <c r="B14" s="18">
        <f>IF(A14="","",IFERROR(VLOOKUP(A14,'Parts Master'!$A:$H,2,FALSE),"Not Found"))</f>
        <v/>
      </c>
      <c r="C14" s="18">
        <f>IF(A14="","",IFERROR(VLOOKUP(A14,'Parts Master'!$A:$H,3,FALSE),""))</f>
        <v/>
      </c>
      <c r="D14" s="20" t="inlineStr"/>
      <c r="E14" s="19">
        <f>IF(A14="","",IFERROR(VLOOKUP(A14,'Parts Master'!$A:$H,4,FALSE),0))</f>
        <v/>
      </c>
      <c r="F14" s="19">
        <f>IF(E14="","",E14*(1-VLOOKUP($G$5,Config!$A$10:$B$13,2,FALSE)))</f>
        <v/>
      </c>
      <c r="G14" s="19">
        <f>IF(D14="","",F14*D14)</f>
        <v/>
      </c>
      <c r="H14" s="19">
        <f>IF(A14="","",IF($H$6="Yes",0,IFERROR(VLOOKUP(A14,'Parts Master'!$A:$H,5,FALSE),0)*D14))</f>
        <v/>
      </c>
      <c r="I14" s="18">
        <f>IF(A14="","",IFERROR(VLOOKUP(A14,'Parts Master'!$A:$H,6,FALSE),""))</f>
        <v/>
      </c>
      <c r="J14" s="18">
        <f>IF(A14="","",IFERROR(VLOOKUP(A14,'Parts Master'!$A:$H,7,FALSE),""))</f>
        <v/>
      </c>
    </row>
    <row r="15">
      <c r="A15" s="14" t="inlineStr"/>
      <c r="B15" s="18">
        <f>IF(A15="","",IFERROR(VLOOKUP(A15,'Parts Master'!$A:$H,2,FALSE),"Not Found"))</f>
        <v/>
      </c>
      <c r="C15" s="18">
        <f>IF(A15="","",IFERROR(VLOOKUP(A15,'Parts Master'!$A:$H,3,FALSE),""))</f>
        <v/>
      </c>
      <c r="D15" s="20" t="inlineStr"/>
      <c r="E15" s="19">
        <f>IF(A15="","",IFERROR(VLOOKUP(A15,'Parts Master'!$A:$H,4,FALSE),0))</f>
        <v/>
      </c>
      <c r="F15" s="19">
        <f>IF(E15="","",E15*(1-VLOOKUP($G$5,Config!$A$10:$B$13,2,FALSE)))</f>
        <v/>
      </c>
      <c r="G15" s="19">
        <f>IF(D15="","",F15*D15)</f>
        <v/>
      </c>
      <c r="H15" s="19">
        <f>IF(A15="","",IF($H$6="Yes",0,IFERROR(VLOOKUP(A15,'Parts Master'!$A:$H,5,FALSE),0)*D15))</f>
        <v/>
      </c>
      <c r="I15" s="18">
        <f>IF(A15="","",IFERROR(VLOOKUP(A15,'Parts Master'!$A:$H,6,FALSE),""))</f>
        <v/>
      </c>
      <c r="J15" s="18">
        <f>IF(A15="","",IFERROR(VLOOKUP(A15,'Parts Master'!$A:$H,7,FALSE),""))</f>
        <v/>
      </c>
    </row>
    <row r="16">
      <c r="A16" s="14" t="inlineStr"/>
      <c r="B16" s="18">
        <f>IF(A16="","",IFERROR(VLOOKUP(A16,'Parts Master'!$A:$H,2,FALSE),"Not Found"))</f>
        <v/>
      </c>
      <c r="C16" s="18">
        <f>IF(A16="","",IFERROR(VLOOKUP(A16,'Parts Master'!$A:$H,3,FALSE),""))</f>
        <v/>
      </c>
      <c r="D16" s="20" t="inlineStr"/>
      <c r="E16" s="19">
        <f>IF(A16="","",IFERROR(VLOOKUP(A16,'Parts Master'!$A:$H,4,FALSE),0))</f>
        <v/>
      </c>
      <c r="F16" s="19">
        <f>IF(E16="","",E16*(1-VLOOKUP($G$5,Config!$A$10:$B$13,2,FALSE)))</f>
        <v/>
      </c>
      <c r="G16" s="19">
        <f>IF(D16="","",F16*D16)</f>
        <v/>
      </c>
      <c r="H16" s="19">
        <f>IF(A16="","",IF($H$6="Yes",0,IFERROR(VLOOKUP(A16,'Parts Master'!$A:$H,5,FALSE),0)*D16))</f>
        <v/>
      </c>
      <c r="I16" s="18">
        <f>IF(A16="","",IFERROR(VLOOKUP(A16,'Parts Master'!$A:$H,6,FALSE),""))</f>
        <v/>
      </c>
      <c r="J16" s="18">
        <f>IF(A16="","",IFERROR(VLOOKUP(A16,'Parts Master'!$A:$H,7,FALSE),""))</f>
        <v/>
      </c>
    </row>
    <row r="17">
      <c r="A17" s="14" t="inlineStr"/>
      <c r="B17" s="18">
        <f>IF(A17="","",IFERROR(VLOOKUP(A17,'Parts Master'!$A:$H,2,FALSE),"Not Found"))</f>
        <v/>
      </c>
      <c r="C17" s="18">
        <f>IF(A17="","",IFERROR(VLOOKUP(A17,'Parts Master'!$A:$H,3,FALSE),""))</f>
        <v/>
      </c>
      <c r="D17" s="20" t="inlineStr"/>
      <c r="E17" s="19">
        <f>IF(A17="","",IFERROR(VLOOKUP(A17,'Parts Master'!$A:$H,4,FALSE),0))</f>
        <v/>
      </c>
      <c r="F17" s="19">
        <f>IF(E17="","",E17*(1-VLOOKUP($G$5,Config!$A$10:$B$13,2,FALSE)))</f>
        <v/>
      </c>
      <c r="G17" s="19">
        <f>IF(D17="","",F17*D17)</f>
        <v/>
      </c>
      <c r="H17" s="19">
        <f>IF(A17="","",IF($H$6="Yes",0,IFERROR(VLOOKUP(A17,'Parts Master'!$A:$H,5,FALSE),0)*D17))</f>
        <v/>
      </c>
      <c r="I17" s="18">
        <f>IF(A17="","",IFERROR(VLOOKUP(A17,'Parts Master'!$A:$H,6,FALSE),""))</f>
        <v/>
      </c>
      <c r="J17" s="18">
        <f>IF(A17="","",IFERROR(VLOOKUP(A17,'Parts Master'!$A:$H,7,FALSE),""))</f>
        <v/>
      </c>
    </row>
    <row r="18">
      <c r="A18" s="14" t="inlineStr"/>
      <c r="B18" s="18">
        <f>IF(A18="","",IFERROR(VLOOKUP(A18,'Parts Master'!$A:$H,2,FALSE),"Not Found"))</f>
        <v/>
      </c>
      <c r="C18" s="18">
        <f>IF(A18="","",IFERROR(VLOOKUP(A18,'Parts Master'!$A:$H,3,FALSE),""))</f>
        <v/>
      </c>
      <c r="D18" s="20" t="inlineStr"/>
      <c r="E18" s="19">
        <f>IF(A18="","",IFERROR(VLOOKUP(A18,'Parts Master'!$A:$H,4,FALSE),0))</f>
        <v/>
      </c>
      <c r="F18" s="19">
        <f>IF(E18="","",E18*(1-VLOOKUP($G$5,Config!$A$10:$B$13,2,FALSE)))</f>
        <v/>
      </c>
      <c r="G18" s="19">
        <f>IF(D18="","",F18*D18)</f>
        <v/>
      </c>
      <c r="H18" s="19">
        <f>IF(A18="","",IF($H$6="Yes",0,IFERROR(VLOOKUP(A18,'Parts Master'!$A:$H,5,FALSE),0)*D18))</f>
        <v/>
      </c>
      <c r="I18" s="18">
        <f>IF(A18="","",IFERROR(VLOOKUP(A18,'Parts Master'!$A:$H,6,FALSE),""))</f>
        <v/>
      </c>
      <c r="J18" s="18">
        <f>IF(A18="","",IFERROR(VLOOKUP(A18,'Parts Master'!$A:$H,7,FALSE),""))</f>
        <v/>
      </c>
    </row>
    <row r="20">
      <c r="A20" t="inlineStr">
        <is>
          <t>Subtotal:</t>
        </is>
      </c>
      <c r="B20" s="35">
        <f>SUM(G9:G18)</f>
        <v/>
      </c>
      <c r="D20" t="inlineStr">
        <is>
          <t>Core:</t>
        </is>
      </c>
      <c r="E20" s="24">
        <f>SUM(H9:H18)</f>
        <v/>
      </c>
      <c r="F20" s="36">
        <f>IF(H6="Yes","(WAIVED)","")</f>
        <v/>
      </c>
      <c r="G20" t="inlineStr">
        <is>
          <t>Savings:</t>
        </is>
      </c>
      <c r="H20" s="37">
        <f>SUM(E9:E18)-SUM(F9:F18)</f>
        <v/>
      </c>
    </row>
    <row r="21">
      <c r="D21" s="25" t="inlineStr">
        <is>
          <t>GRAND TOTAL:</t>
        </is>
      </c>
      <c r="F21" s="38">
        <f>B20+IF(H6="Yes",0,E20)</f>
        <v/>
      </c>
    </row>
    <row r="23">
      <c r="A23" t="inlineStr">
        <is>
          <t>Notes:</t>
        </is>
      </c>
    </row>
    <row r="24">
      <c r="A24" s="14" t="inlineStr"/>
      <c r="B24" s="60" t="n"/>
      <c r="C24" s="60" t="n"/>
      <c r="D24" s="60" t="n"/>
      <c r="E24" s="60" t="n"/>
      <c r="F24" s="60" t="n"/>
      <c r="G24" s="60" t="n"/>
      <c r="H24" s="60" t="n"/>
      <c r="I24" s="60" t="n"/>
      <c r="J24" s="61" t="n"/>
    </row>
    <row r="25">
      <c r="A25" s="62" t="n"/>
      <c r="B25" s="63" t="n"/>
      <c r="C25" s="63" t="n"/>
      <c r="D25" s="63" t="n"/>
      <c r="E25" s="63" t="n"/>
      <c r="F25" s="63" t="n"/>
      <c r="G25" s="63" t="n"/>
      <c r="H25" s="63" t="n"/>
      <c r="I25" s="63" t="n"/>
      <c r="J25" s="64" t="n"/>
    </row>
    <row r="27">
      <c r="A27" s="39" t="inlineStr">
        <is>
          <t>Core charges refunded upon receipt of serviceable core within 30 days.</t>
        </is>
      </c>
    </row>
    <row r="29" ht="30" customHeight="1">
      <c r="A29" s="34" t="inlineStr"/>
      <c r="C29" s="34" t="inlineStr"/>
      <c r="E29" s="34" t="inlineStr"/>
      <c r="G29" s="34" t="inlineStr"/>
    </row>
  </sheetData>
  <mergeCells count="7">
    <mergeCell ref="F21:G21"/>
    <mergeCell ref="A1:J1"/>
    <mergeCell ref="B5:D5"/>
    <mergeCell ref="A24:J25"/>
    <mergeCell ref="A27:J27"/>
    <mergeCell ref="A2:J2"/>
    <mergeCell ref="D21:E21"/>
  </mergeCells>
  <dataValidations count="2">
    <dataValidation sqref="G5" showDropDown="0" showInputMessage="0" showErrorMessage="0" allowBlank="0" type="list">
      <formula1>"Standard,Tier 1,Tier 2,Tier 3"</formula1>
    </dataValidation>
    <dataValidation sqref="B6 D6 F6 H6" showDropDown="0" showInputMessage="0" showErrorMessage="0" allowBlank="0" type="list">
      <formula1>"Yes,No"</formula1>
    </dataValidation>
  </dataValidations>
  <pageMargins left="0.75" right="0.75" top="1" bottom="1" header="0.5" footer="0.5"/>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55"/>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22" customWidth="1" min="3" max="3"/>
    <col width="11" customWidth="1" min="4" max="4"/>
    <col width="10" customWidth="1" min="5" max="5"/>
    <col width="9" customWidth="1" min="6" max="6"/>
    <col width="9" customWidth="1" min="7" max="7"/>
    <col width="9" customWidth="1" min="8" max="8"/>
    <col width="8" customWidth="1" min="9" max="9"/>
    <col width="10" customWidth="1" min="10" max="10"/>
    <col width="8" customWidth="1" min="11" max="11"/>
    <col width="9" customWidth="1" min="12" max="12"/>
    <col width="35" customWidth="1" min="13" max="13"/>
  </cols>
  <sheetData>
    <row r="1" ht="28" customHeight="1">
      <c r="A1" s="40" t="inlineStr">
        <is>
          <t>QUOTE TRACKER - Follow-up &amp; Status Management</t>
        </is>
      </c>
    </row>
    <row r="2">
      <c r="A2" s="39" t="inlineStr">
        <is>
          <t>RED = needs follow-up (7+ days) | Mark needs as DONE when fulfilled | Set Status to CLOSED when complete</t>
        </is>
      </c>
    </row>
    <row r="3">
      <c r="A3" s="17" t="inlineStr">
        <is>
          <t>Quote #</t>
        </is>
      </c>
      <c r="B3" s="17" t="inlineStr">
        <is>
          <t>Created</t>
        </is>
      </c>
      <c r="C3" s="17" t="inlineStr">
        <is>
          <t>Customer Email</t>
        </is>
      </c>
      <c r="D3" s="17" t="inlineStr">
        <is>
          <t>Type</t>
        </is>
      </c>
      <c r="E3" s="17" t="inlineStr">
        <is>
          <t>Amount</t>
        </is>
      </c>
      <c r="F3" s="17" t="inlineStr">
        <is>
          <t>Approval</t>
        </is>
      </c>
      <c r="G3" s="17" t="inlineStr">
        <is>
          <t>Shipping</t>
        </is>
      </c>
      <c r="H3" s="17" t="inlineStr">
        <is>
          <t>Payment</t>
        </is>
      </c>
      <c r="I3" s="17" t="inlineStr">
        <is>
          <t>Reminders</t>
        </is>
      </c>
      <c r="J3" s="17" t="inlineStr">
        <is>
          <t>Last Contact</t>
        </is>
      </c>
      <c r="K3" s="17" t="inlineStr">
        <is>
          <t>Days</t>
        </is>
      </c>
      <c r="L3" s="17" t="inlineStr">
        <is>
          <t>Status</t>
        </is>
      </c>
      <c r="M3" s="17" t="inlineStr">
        <is>
          <t>Notes</t>
        </is>
      </c>
    </row>
    <row r="4">
      <c r="A4" s="18" t="n"/>
      <c r="B4" s="41" t="n"/>
      <c r="C4" s="18" t="n"/>
      <c r="D4" s="28" t="n"/>
      <c r="E4" s="19" t="n"/>
      <c r="F4" s="28" t="n"/>
      <c r="G4" s="28" t="n"/>
      <c r="H4" s="28" t="n"/>
      <c r="I4" s="28" t="n"/>
      <c r="J4" s="41" t="n"/>
      <c r="K4" s="28">
        <f>IF(J4="","",TODAY()-J4)</f>
        <v/>
      </c>
      <c r="L4" s="28" t="n"/>
      <c r="M4" s="42" t="n"/>
    </row>
    <row r="5">
      <c r="A5" s="18" t="n"/>
      <c r="B5" s="41" t="n"/>
      <c r="C5" s="18" t="n"/>
      <c r="D5" s="28" t="n"/>
      <c r="E5" s="19" t="n"/>
      <c r="F5" s="28" t="n"/>
      <c r="G5" s="28" t="n"/>
      <c r="H5" s="28" t="n"/>
      <c r="I5" s="28" t="n"/>
      <c r="J5" s="41" t="n"/>
      <c r="K5" s="28">
        <f>IF(J5="","",TODAY()-J5)</f>
        <v/>
      </c>
      <c r="L5" s="28" t="n"/>
      <c r="M5" s="42" t="n"/>
    </row>
    <row r="6">
      <c r="A6" s="18" t="n"/>
      <c r="B6" s="41" t="n"/>
      <c r="C6" s="18" t="n"/>
      <c r="D6" s="28" t="n"/>
      <c r="E6" s="19" t="n"/>
      <c r="F6" s="28" t="n"/>
      <c r="G6" s="28" t="n"/>
      <c r="H6" s="28" t="n"/>
      <c r="I6" s="28" t="n"/>
      <c r="J6" s="41" t="n"/>
      <c r="K6" s="28">
        <f>IF(J6="","",TODAY()-J6)</f>
        <v/>
      </c>
      <c r="L6" s="28" t="n"/>
      <c r="M6" s="42" t="n"/>
    </row>
    <row r="7">
      <c r="A7" s="18" t="n"/>
      <c r="B7" s="41" t="n"/>
      <c r="C7" s="18" t="n"/>
      <c r="D7" s="28" t="n"/>
      <c r="E7" s="19" t="n"/>
      <c r="F7" s="28" t="n"/>
      <c r="G7" s="28" t="n"/>
      <c r="H7" s="28" t="n"/>
      <c r="I7" s="28" t="n"/>
      <c r="J7" s="41" t="n"/>
      <c r="K7" s="28">
        <f>IF(J7="","",TODAY()-J7)</f>
        <v/>
      </c>
      <c r="L7" s="28" t="n"/>
      <c r="M7" s="42" t="n"/>
    </row>
    <row r="8">
      <c r="A8" s="18" t="n"/>
      <c r="B8" s="41" t="n"/>
      <c r="C8" s="18" t="n"/>
      <c r="D8" s="28" t="n"/>
      <c r="E8" s="19" t="n"/>
      <c r="F8" s="28" t="n"/>
      <c r="G8" s="28" t="n"/>
      <c r="H8" s="28" t="n"/>
      <c r="I8" s="28" t="n"/>
      <c r="J8" s="41" t="n"/>
      <c r="K8" s="28">
        <f>IF(J8="","",TODAY()-J8)</f>
        <v/>
      </c>
      <c r="L8" s="28" t="n"/>
      <c r="M8" s="42" t="n"/>
    </row>
    <row r="9">
      <c r="A9" s="18" t="n"/>
      <c r="B9" s="41" t="n"/>
      <c r="C9" s="18" t="n"/>
      <c r="D9" s="28" t="n"/>
      <c r="E9" s="19" t="n"/>
      <c r="F9" s="28" t="n"/>
      <c r="G9" s="28" t="n"/>
      <c r="H9" s="28" t="n"/>
      <c r="I9" s="28" t="n"/>
      <c r="J9" s="41" t="n"/>
      <c r="K9" s="28">
        <f>IF(J9="","",TODAY()-J9)</f>
        <v/>
      </c>
      <c r="L9" s="28" t="n"/>
      <c r="M9" s="42" t="n"/>
    </row>
    <row r="10">
      <c r="A10" s="18" t="n"/>
      <c r="B10" s="41" t="n"/>
      <c r="C10" s="18" t="n"/>
      <c r="D10" s="28" t="n"/>
      <c r="E10" s="19" t="n"/>
      <c r="F10" s="28" t="n"/>
      <c r="G10" s="28" t="n"/>
      <c r="H10" s="28" t="n"/>
      <c r="I10" s="28" t="n"/>
      <c r="J10" s="41" t="n"/>
      <c r="K10" s="28">
        <f>IF(J10="","",TODAY()-J10)</f>
        <v/>
      </c>
      <c r="L10" s="28" t="n"/>
      <c r="M10" s="42" t="n"/>
    </row>
    <row r="11">
      <c r="A11" s="18" t="n"/>
      <c r="B11" s="41" t="n"/>
      <c r="C11" s="18" t="n"/>
      <c r="D11" s="28" t="n"/>
      <c r="E11" s="19" t="n"/>
      <c r="F11" s="28" t="n"/>
      <c r="G11" s="28" t="n"/>
      <c r="H11" s="28" t="n"/>
      <c r="I11" s="28" t="n"/>
      <c r="J11" s="41" t="n"/>
      <c r="K11" s="28">
        <f>IF(J11="","",TODAY()-J11)</f>
        <v/>
      </c>
      <c r="L11" s="28" t="n"/>
      <c r="M11" s="42" t="n"/>
    </row>
    <row r="12">
      <c r="A12" s="18" t="n"/>
      <c r="B12" s="41" t="n"/>
      <c r="C12" s="18" t="n"/>
      <c r="D12" s="28" t="n"/>
      <c r="E12" s="19" t="n"/>
      <c r="F12" s="28" t="n"/>
      <c r="G12" s="28" t="n"/>
      <c r="H12" s="28" t="n"/>
      <c r="I12" s="28" t="n"/>
      <c r="J12" s="41" t="n"/>
      <c r="K12" s="28">
        <f>IF(J12="","",TODAY()-J12)</f>
        <v/>
      </c>
      <c r="L12" s="28" t="n"/>
      <c r="M12" s="42" t="n"/>
    </row>
    <row r="13">
      <c r="A13" s="18" t="n"/>
      <c r="B13" s="41" t="n"/>
      <c r="C13" s="18" t="n"/>
      <c r="D13" s="28" t="n"/>
      <c r="E13" s="19" t="n"/>
      <c r="F13" s="28" t="n"/>
      <c r="G13" s="28" t="n"/>
      <c r="H13" s="28" t="n"/>
      <c r="I13" s="28" t="n"/>
      <c r="J13" s="41" t="n"/>
      <c r="K13" s="28">
        <f>IF(J13="","",TODAY()-J13)</f>
        <v/>
      </c>
      <c r="L13" s="28" t="n"/>
      <c r="M13" s="42" t="n"/>
    </row>
    <row r="14">
      <c r="A14" s="18" t="n"/>
      <c r="B14" s="41" t="n"/>
      <c r="C14" s="18" t="n"/>
      <c r="D14" s="28" t="n"/>
      <c r="E14" s="19" t="n"/>
      <c r="F14" s="28" t="n"/>
      <c r="G14" s="28" t="n"/>
      <c r="H14" s="28" t="n"/>
      <c r="I14" s="28" t="n"/>
      <c r="J14" s="41" t="n"/>
      <c r="K14" s="28">
        <f>IF(J14="","",TODAY()-J14)</f>
        <v/>
      </c>
      <c r="L14" s="28" t="n"/>
      <c r="M14" s="42" t="n"/>
    </row>
    <row r="15">
      <c r="A15" s="18" t="n"/>
      <c r="B15" s="41" t="n"/>
      <c r="C15" s="18" t="n"/>
      <c r="D15" s="28" t="n"/>
      <c r="E15" s="19" t="n"/>
      <c r="F15" s="28" t="n"/>
      <c r="G15" s="28" t="n"/>
      <c r="H15" s="28" t="n"/>
      <c r="I15" s="28" t="n"/>
      <c r="J15" s="41" t="n"/>
      <c r="K15" s="28">
        <f>IF(J15="","",TODAY()-J15)</f>
        <v/>
      </c>
      <c r="L15" s="28" t="n"/>
      <c r="M15" s="42" t="n"/>
    </row>
    <row r="16">
      <c r="A16" s="18" t="n"/>
      <c r="B16" s="41" t="n"/>
      <c r="C16" s="18" t="n"/>
      <c r="D16" s="28" t="n"/>
      <c r="E16" s="19" t="n"/>
      <c r="F16" s="28" t="n"/>
      <c r="G16" s="28" t="n"/>
      <c r="H16" s="28" t="n"/>
      <c r="I16" s="28" t="n"/>
      <c r="J16" s="41" t="n"/>
      <c r="K16" s="28">
        <f>IF(J16="","",TODAY()-J16)</f>
        <v/>
      </c>
      <c r="L16" s="28" t="n"/>
      <c r="M16" s="42" t="n"/>
    </row>
    <row r="17">
      <c r="A17" s="18" t="n"/>
      <c r="B17" s="41" t="n"/>
      <c r="C17" s="18" t="n"/>
      <c r="D17" s="28" t="n"/>
      <c r="E17" s="19" t="n"/>
      <c r="F17" s="28" t="n"/>
      <c r="G17" s="28" t="n"/>
      <c r="H17" s="28" t="n"/>
      <c r="I17" s="28" t="n"/>
      <c r="J17" s="41" t="n"/>
      <c r="K17" s="28">
        <f>IF(J17="","",TODAY()-J17)</f>
        <v/>
      </c>
      <c r="L17" s="28" t="n"/>
      <c r="M17" s="42" t="n"/>
    </row>
    <row r="18">
      <c r="A18" s="18" t="n"/>
      <c r="B18" s="41" t="n"/>
      <c r="C18" s="18" t="n"/>
      <c r="D18" s="28" t="n"/>
      <c r="E18" s="19" t="n"/>
      <c r="F18" s="28" t="n"/>
      <c r="G18" s="28" t="n"/>
      <c r="H18" s="28" t="n"/>
      <c r="I18" s="28" t="n"/>
      <c r="J18" s="41" t="n"/>
      <c r="K18" s="28">
        <f>IF(J18="","",TODAY()-J18)</f>
        <v/>
      </c>
      <c r="L18" s="28" t="n"/>
      <c r="M18" s="42" t="n"/>
    </row>
    <row r="19">
      <c r="A19" s="18" t="n"/>
      <c r="B19" s="41" t="n"/>
      <c r="C19" s="18" t="n"/>
      <c r="D19" s="28" t="n"/>
      <c r="E19" s="19" t="n"/>
      <c r="F19" s="28" t="n"/>
      <c r="G19" s="28" t="n"/>
      <c r="H19" s="28" t="n"/>
      <c r="I19" s="28" t="n"/>
      <c r="J19" s="41" t="n"/>
      <c r="K19" s="28">
        <f>IF(J19="","",TODAY()-J19)</f>
        <v/>
      </c>
      <c r="L19" s="28" t="n"/>
      <c r="M19" s="42" t="n"/>
    </row>
    <row r="20">
      <c r="A20" s="18" t="n"/>
      <c r="B20" s="41" t="n"/>
      <c r="C20" s="18" t="n"/>
      <c r="D20" s="28" t="n"/>
      <c r="E20" s="19" t="n"/>
      <c r="F20" s="28" t="n"/>
      <c r="G20" s="28" t="n"/>
      <c r="H20" s="28" t="n"/>
      <c r="I20" s="28" t="n"/>
      <c r="J20" s="41" t="n"/>
      <c r="K20" s="28">
        <f>IF(J20="","",TODAY()-J20)</f>
        <v/>
      </c>
      <c r="L20" s="28" t="n"/>
      <c r="M20" s="42" t="n"/>
    </row>
    <row r="21">
      <c r="A21" s="18" t="n"/>
      <c r="B21" s="41" t="n"/>
      <c r="C21" s="18" t="n"/>
      <c r="D21" s="28" t="n"/>
      <c r="E21" s="19" t="n"/>
      <c r="F21" s="28" t="n"/>
      <c r="G21" s="28" t="n"/>
      <c r="H21" s="28" t="n"/>
      <c r="I21" s="28" t="n"/>
      <c r="J21" s="41" t="n"/>
      <c r="K21" s="28">
        <f>IF(J21="","",TODAY()-J21)</f>
        <v/>
      </c>
      <c r="L21" s="28" t="n"/>
      <c r="M21" s="42" t="n"/>
    </row>
    <row r="22">
      <c r="A22" s="18" t="n"/>
      <c r="B22" s="41" t="n"/>
      <c r="C22" s="18" t="n"/>
      <c r="D22" s="28" t="n"/>
      <c r="E22" s="19" t="n"/>
      <c r="F22" s="28" t="n"/>
      <c r="G22" s="28" t="n"/>
      <c r="H22" s="28" t="n"/>
      <c r="I22" s="28" t="n"/>
      <c r="J22" s="41" t="n"/>
      <c r="K22" s="28">
        <f>IF(J22="","",TODAY()-J22)</f>
        <v/>
      </c>
      <c r="L22" s="28" t="n"/>
      <c r="M22" s="42" t="n"/>
    </row>
    <row r="23">
      <c r="A23" s="18" t="n"/>
      <c r="B23" s="41" t="n"/>
      <c r="C23" s="18" t="n"/>
      <c r="D23" s="28" t="n"/>
      <c r="E23" s="19" t="n"/>
      <c r="F23" s="28" t="n"/>
      <c r="G23" s="28" t="n"/>
      <c r="H23" s="28" t="n"/>
      <c r="I23" s="28" t="n"/>
      <c r="J23" s="41" t="n"/>
      <c r="K23" s="28">
        <f>IF(J23="","",TODAY()-J23)</f>
        <v/>
      </c>
      <c r="L23" s="28" t="n"/>
      <c r="M23" s="42" t="n"/>
    </row>
    <row r="24">
      <c r="A24" s="18" t="n"/>
      <c r="B24" s="41" t="n"/>
      <c r="C24" s="18" t="n"/>
      <c r="D24" s="28" t="n"/>
      <c r="E24" s="19" t="n"/>
      <c r="F24" s="28" t="n"/>
      <c r="G24" s="28" t="n"/>
      <c r="H24" s="28" t="n"/>
      <c r="I24" s="28" t="n"/>
      <c r="J24" s="41" t="n"/>
      <c r="K24" s="28">
        <f>IF(J24="","",TODAY()-J24)</f>
        <v/>
      </c>
      <c r="L24" s="28" t="n"/>
      <c r="M24" s="42" t="n"/>
    </row>
    <row r="25">
      <c r="A25" s="18" t="n"/>
      <c r="B25" s="41" t="n"/>
      <c r="C25" s="18" t="n"/>
      <c r="D25" s="28" t="n"/>
      <c r="E25" s="19" t="n"/>
      <c r="F25" s="28" t="n"/>
      <c r="G25" s="28" t="n"/>
      <c r="H25" s="28" t="n"/>
      <c r="I25" s="28" t="n"/>
      <c r="J25" s="41" t="n"/>
      <c r="K25" s="28">
        <f>IF(J25="","",TODAY()-J25)</f>
        <v/>
      </c>
      <c r="L25" s="28" t="n"/>
      <c r="M25" s="42" t="n"/>
    </row>
    <row r="26">
      <c r="A26" s="18" t="n"/>
      <c r="B26" s="41" t="n"/>
      <c r="C26" s="18" t="n"/>
      <c r="D26" s="28" t="n"/>
      <c r="E26" s="19" t="n"/>
      <c r="F26" s="28" t="n"/>
      <c r="G26" s="28" t="n"/>
      <c r="H26" s="28" t="n"/>
      <c r="I26" s="28" t="n"/>
      <c r="J26" s="41" t="n"/>
      <c r="K26" s="28">
        <f>IF(J26="","",TODAY()-J26)</f>
        <v/>
      </c>
      <c r="L26" s="28" t="n"/>
      <c r="M26" s="42" t="n"/>
    </row>
    <row r="27">
      <c r="A27" s="18" t="n"/>
      <c r="B27" s="41" t="n"/>
      <c r="C27" s="18" t="n"/>
      <c r="D27" s="28" t="n"/>
      <c r="E27" s="19" t="n"/>
      <c r="F27" s="28" t="n"/>
      <c r="G27" s="28" t="n"/>
      <c r="H27" s="28" t="n"/>
      <c r="I27" s="28" t="n"/>
      <c r="J27" s="41" t="n"/>
      <c r="K27" s="28">
        <f>IF(J27="","",TODAY()-J27)</f>
        <v/>
      </c>
      <c r="L27" s="28" t="n"/>
      <c r="M27" s="42" t="n"/>
    </row>
    <row r="28">
      <c r="A28" s="18" t="n"/>
      <c r="B28" s="41" t="n"/>
      <c r="C28" s="18" t="n"/>
      <c r="D28" s="28" t="n"/>
      <c r="E28" s="19" t="n"/>
      <c r="F28" s="28" t="n"/>
      <c r="G28" s="28" t="n"/>
      <c r="H28" s="28" t="n"/>
      <c r="I28" s="28" t="n"/>
      <c r="J28" s="41" t="n"/>
      <c r="K28" s="28">
        <f>IF(J28="","",TODAY()-J28)</f>
        <v/>
      </c>
      <c r="L28" s="28" t="n"/>
      <c r="M28" s="42" t="n"/>
    </row>
    <row r="29">
      <c r="A29" s="18" t="n"/>
      <c r="B29" s="41" t="n"/>
      <c r="C29" s="18" t="n"/>
      <c r="D29" s="28" t="n"/>
      <c r="E29" s="19" t="n"/>
      <c r="F29" s="28" t="n"/>
      <c r="G29" s="28" t="n"/>
      <c r="H29" s="28" t="n"/>
      <c r="I29" s="28" t="n"/>
      <c r="J29" s="41" t="n"/>
      <c r="K29" s="28">
        <f>IF(J29="","",TODAY()-J29)</f>
        <v/>
      </c>
      <c r="L29" s="28" t="n"/>
      <c r="M29" s="42" t="n"/>
    </row>
    <row r="30">
      <c r="A30" s="18" t="n"/>
      <c r="B30" s="41" t="n"/>
      <c r="C30" s="18" t="n"/>
      <c r="D30" s="28" t="n"/>
      <c r="E30" s="19" t="n"/>
      <c r="F30" s="28" t="n"/>
      <c r="G30" s="28" t="n"/>
      <c r="H30" s="28" t="n"/>
      <c r="I30" s="28" t="n"/>
      <c r="J30" s="41" t="n"/>
      <c r="K30" s="28">
        <f>IF(J30="","",TODAY()-J30)</f>
        <v/>
      </c>
      <c r="L30" s="28" t="n"/>
      <c r="M30" s="42" t="n"/>
    </row>
    <row r="31">
      <c r="A31" s="18" t="n"/>
      <c r="B31" s="41" t="n"/>
      <c r="C31" s="18" t="n"/>
      <c r="D31" s="28" t="n"/>
      <c r="E31" s="19" t="n"/>
      <c r="F31" s="28" t="n"/>
      <c r="G31" s="28" t="n"/>
      <c r="H31" s="28" t="n"/>
      <c r="I31" s="28" t="n"/>
      <c r="J31" s="41" t="n"/>
      <c r="K31" s="28">
        <f>IF(J31="","",TODAY()-J31)</f>
        <v/>
      </c>
      <c r="L31" s="28" t="n"/>
      <c r="M31" s="42" t="n"/>
    </row>
    <row r="32">
      <c r="A32" s="18" t="n"/>
      <c r="B32" s="41" t="n"/>
      <c r="C32" s="18" t="n"/>
      <c r="D32" s="28" t="n"/>
      <c r="E32" s="19" t="n"/>
      <c r="F32" s="28" t="n"/>
      <c r="G32" s="28" t="n"/>
      <c r="H32" s="28" t="n"/>
      <c r="I32" s="28" t="n"/>
      <c r="J32" s="41" t="n"/>
      <c r="K32" s="28">
        <f>IF(J32="","",TODAY()-J32)</f>
        <v/>
      </c>
      <c r="L32" s="28" t="n"/>
      <c r="M32" s="42" t="n"/>
    </row>
    <row r="33">
      <c r="A33" s="18" t="n"/>
      <c r="B33" s="41" t="n"/>
      <c r="C33" s="18" t="n"/>
      <c r="D33" s="28" t="n"/>
      <c r="E33" s="19" t="n"/>
      <c r="F33" s="28" t="n"/>
      <c r="G33" s="28" t="n"/>
      <c r="H33" s="28" t="n"/>
      <c r="I33" s="28" t="n"/>
      <c r="J33" s="41" t="n"/>
      <c r="K33" s="28">
        <f>IF(J33="","",TODAY()-J33)</f>
        <v/>
      </c>
      <c r="L33" s="28" t="n"/>
      <c r="M33" s="42" t="n"/>
    </row>
    <row r="34">
      <c r="A34" s="18" t="n"/>
      <c r="B34" s="41" t="n"/>
      <c r="C34" s="18" t="n"/>
      <c r="D34" s="28" t="n"/>
      <c r="E34" s="19" t="n"/>
      <c r="F34" s="28" t="n"/>
      <c r="G34" s="28" t="n"/>
      <c r="H34" s="28" t="n"/>
      <c r="I34" s="28" t="n"/>
      <c r="J34" s="41" t="n"/>
      <c r="K34" s="28">
        <f>IF(J34="","",TODAY()-J34)</f>
        <v/>
      </c>
      <c r="L34" s="28" t="n"/>
      <c r="M34" s="42" t="n"/>
    </row>
    <row r="35">
      <c r="A35" s="18" t="n"/>
      <c r="B35" s="41" t="n"/>
      <c r="C35" s="18" t="n"/>
      <c r="D35" s="28" t="n"/>
      <c r="E35" s="19" t="n"/>
      <c r="F35" s="28" t="n"/>
      <c r="G35" s="28" t="n"/>
      <c r="H35" s="28" t="n"/>
      <c r="I35" s="28" t="n"/>
      <c r="J35" s="41" t="n"/>
      <c r="K35" s="28">
        <f>IF(J35="","",TODAY()-J35)</f>
        <v/>
      </c>
      <c r="L35" s="28" t="n"/>
      <c r="M35" s="42" t="n"/>
    </row>
    <row r="36">
      <c r="A36" s="18" t="n"/>
      <c r="B36" s="41" t="n"/>
      <c r="C36" s="18" t="n"/>
      <c r="D36" s="28" t="n"/>
      <c r="E36" s="19" t="n"/>
      <c r="F36" s="28" t="n"/>
      <c r="G36" s="28" t="n"/>
      <c r="H36" s="28" t="n"/>
      <c r="I36" s="28" t="n"/>
      <c r="J36" s="41" t="n"/>
      <c r="K36" s="28">
        <f>IF(J36="","",TODAY()-J36)</f>
        <v/>
      </c>
      <c r="L36" s="28" t="n"/>
      <c r="M36" s="42" t="n"/>
    </row>
    <row r="37">
      <c r="A37" s="18" t="n"/>
      <c r="B37" s="41" t="n"/>
      <c r="C37" s="18" t="n"/>
      <c r="D37" s="28" t="n"/>
      <c r="E37" s="19" t="n"/>
      <c r="F37" s="28" t="n"/>
      <c r="G37" s="28" t="n"/>
      <c r="H37" s="28" t="n"/>
      <c r="I37" s="28" t="n"/>
      <c r="J37" s="41" t="n"/>
      <c r="K37" s="28">
        <f>IF(J37="","",TODAY()-J37)</f>
        <v/>
      </c>
      <c r="L37" s="28" t="n"/>
      <c r="M37" s="42" t="n"/>
    </row>
    <row r="38">
      <c r="A38" s="18" t="n"/>
      <c r="B38" s="41" t="n"/>
      <c r="C38" s="18" t="n"/>
      <c r="D38" s="28" t="n"/>
      <c r="E38" s="19" t="n"/>
      <c r="F38" s="28" t="n"/>
      <c r="G38" s="28" t="n"/>
      <c r="H38" s="28" t="n"/>
      <c r="I38" s="28" t="n"/>
      <c r="J38" s="41" t="n"/>
      <c r="K38" s="28">
        <f>IF(J38="","",TODAY()-J38)</f>
        <v/>
      </c>
      <c r="L38" s="28" t="n"/>
      <c r="M38" s="42" t="n"/>
    </row>
    <row r="39">
      <c r="A39" s="18" t="n"/>
      <c r="B39" s="41" t="n"/>
      <c r="C39" s="18" t="n"/>
      <c r="D39" s="28" t="n"/>
      <c r="E39" s="19" t="n"/>
      <c r="F39" s="28" t="n"/>
      <c r="G39" s="28" t="n"/>
      <c r="H39" s="28" t="n"/>
      <c r="I39" s="28" t="n"/>
      <c r="J39" s="41" t="n"/>
      <c r="K39" s="28">
        <f>IF(J39="","",TODAY()-J39)</f>
        <v/>
      </c>
      <c r="L39" s="28" t="n"/>
      <c r="M39" s="42" t="n"/>
    </row>
    <row r="40">
      <c r="A40" s="18" t="n"/>
      <c r="B40" s="41" t="n"/>
      <c r="C40" s="18" t="n"/>
      <c r="D40" s="28" t="n"/>
      <c r="E40" s="19" t="n"/>
      <c r="F40" s="28" t="n"/>
      <c r="G40" s="28" t="n"/>
      <c r="H40" s="28" t="n"/>
      <c r="I40" s="28" t="n"/>
      <c r="J40" s="41" t="n"/>
      <c r="K40" s="28">
        <f>IF(J40="","",TODAY()-J40)</f>
        <v/>
      </c>
      <c r="L40" s="28" t="n"/>
      <c r="M40" s="42" t="n"/>
    </row>
    <row r="41">
      <c r="A41" s="18" t="n"/>
      <c r="B41" s="41" t="n"/>
      <c r="C41" s="18" t="n"/>
      <c r="D41" s="28" t="n"/>
      <c r="E41" s="19" t="n"/>
      <c r="F41" s="28" t="n"/>
      <c r="G41" s="28" t="n"/>
      <c r="H41" s="28" t="n"/>
      <c r="I41" s="28" t="n"/>
      <c r="J41" s="41" t="n"/>
      <c r="K41" s="28">
        <f>IF(J41="","",TODAY()-J41)</f>
        <v/>
      </c>
      <c r="L41" s="28" t="n"/>
      <c r="M41" s="42" t="n"/>
    </row>
    <row r="42">
      <c r="A42" s="18" t="n"/>
      <c r="B42" s="41" t="n"/>
      <c r="C42" s="18" t="n"/>
      <c r="D42" s="28" t="n"/>
      <c r="E42" s="19" t="n"/>
      <c r="F42" s="28" t="n"/>
      <c r="G42" s="28" t="n"/>
      <c r="H42" s="28" t="n"/>
      <c r="I42" s="28" t="n"/>
      <c r="J42" s="41" t="n"/>
      <c r="K42" s="28">
        <f>IF(J42="","",TODAY()-J42)</f>
        <v/>
      </c>
      <c r="L42" s="28" t="n"/>
      <c r="M42" s="42" t="n"/>
    </row>
    <row r="43">
      <c r="A43" s="18" t="n"/>
      <c r="B43" s="41" t="n"/>
      <c r="C43" s="18" t="n"/>
      <c r="D43" s="28" t="n"/>
      <c r="E43" s="19" t="n"/>
      <c r="F43" s="28" t="n"/>
      <c r="G43" s="28" t="n"/>
      <c r="H43" s="28" t="n"/>
      <c r="I43" s="28" t="n"/>
      <c r="J43" s="41" t="n"/>
      <c r="K43" s="28">
        <f>IF(J43="","",TODAY()-J43)</f>
        <v/>
      </c>
      <c r="L43" s="28" t="n"/>
      <c r="M43" s="42" t="n"/>
    </row>
    <row r="44">
      <c r="A44" s="18" t="n"/>
      <c r="B44" s="41" t="n"/>
      <c r="C44" s="18" t="n"/>
      <c r="D44" s="28" t="n"/>
      <c r="E44" s="19" t="n"/>
      <c r="F44" s="28" t="n"/>
      <c r="G44" s="28" t="n"/>
      <c r="H44" s="28" t="n"/>
      <c r="I44" s="28" t="n"/>
      <c r="J44" s="41" t="n"/>
      <c r="K44" s="28">
        <f>IF(J44="","",TODAY()-J44)</f>
        <v/>
      </c>
      <c r="L44" s="28" t="n"/>
      <c r="M44" s="42" t="n"/>
    </row>
    <row r="45">
      <c r="A45" s="18" t="n"/>
      <c r="B45" s="41" t="n"/>
      <c r="C45" s="18" t="n"/>
      <c r="D45" s="28" t="n"/>
      <c r="E45" s="19" t="n"/>
      <c r="F45" s="28" t="n"/>
      <c r="G45" s="28" t="n"/>
      <c r="H45" s="28" t="n"/>
      <c r="I45" s="28" t="n"/>
      <c r="J45" s="41" t="n"/>
      <c r="K45" s="28">
        <f>IF(J45="","",TODAY()-J45)</f>
        <v/>
      </c>
      <c r="L45" s="28" t="n"/>
      <c r="M45" s="42" t="n"/>
    </row>
    <row r="46">
      <c r="A46" s="18" t="n"/>
      <c r="B46" s="41" t="n"/>
      <c r="C46" s="18" t="n"/>
      <c r="D46" s="28" t="n"/>
      <c r="E46" s="19" t="n"/>
      <c r="F46" s="28" t="n"/>
      <c r="G46" s="28" t="n"/>
      <c r="H46" s="28" t="n"/>
      <c r="I46" s="28" t="n"/>
      <c r="J46" s="41" t="n"/>
      <c r="K46" s="28">
        <f>IF(J46="","",TODAY()-J46)</f>
        <v/>
      </c>
      <c r="L46" s="28" t="n"/>
      <c r="M46" s="42" t="n"/>
    </row>
    <row r="47">
      <c r="A47" s="18" t="n"/>
      <c r="B47" s="41" t="n"/>
      <c r="C47" s="18" t="n"/>
      <c r="D47" s="28" t="n"/>
      <c r="E47" s="19" t="n"/>
      <c r="F47" s="28" t="n"/>
      <c r="G47" s="28" t="n"/>
      <c r="H47" s="28" t="n"/>
      <c r="I47" s="28" t="n"/>
      <c r="J47" s="41" t="n"/>
      <c r="K47" s="28">
        <f>IF(J47="","",TODAY()-J47)</f>
        <v/>
      </c>
      <c r="L47" s="28" t="n"/>
      <c r="M47" s="42" t="n"/>
    </row>
    <row r="48">
      <c r="A48" s="18" t="n"/>
      <c r="B48" s="41" t="n"/>
      <c r="C48" s="18" t="n"/>
      <c r="D48" s="28" t="n"/>
      <c r="E48" s="19" t="n"/>
      <c r="F48" s="28" t="n"/>
      <c r="G48" s="28" t="n"/>
      <c r="H48" s="28" t="n"/>
      <c r="I48" s="28" t="n"/>
      <c r="J48" s="41" t="n"/>
      <c r="K48" s="28">
        <f>IF(J48="","",TODAY()-J48)</f>
        <v/>
      </c>
      <c r="L48" s="28" t="n"/>
      <c r="M48" s="42" t="n"/>
    </row>
    <row r="49">
      <c r="A49" s="18" t="n"/>
      <c r="B49" s="41" t="n"/>
      <c r="C49" s="18" t="n"/>
      <c r="D49" s="28" t="n"/>
      <c r="E49" s="19" t="n"/>
      <c r="F49" s="28" t="n"/>
      <c r="G49" s="28" t="n"/>
      <c r="H49" s="28" t="n"/>
      <c r="I49" s="28" t="n"/>
      <c r="J49" s="41" t="n"/>
      <c r="K49" s="28">
        <f>IF(J49="","",TODAY()-J49)</f>
        <v/>
      </c>
      <c r="L49" s="28" t="n"/>
      <c r="M49" s="42" t="n"/>
    </row>
    <row r="50">
      <c r="A50" s="18" t="n"/>
      <c r="B50" s="41" t="n"/>
      <c r="C50" s="18" t="n"/>
      <c r="D50" s="28" t="n"/>
      <c r="E50" s="19" t="n"/>
      <c r="F50" s="28" t="n"/>
      <c r="G50" s="28" t="n"/>
      <c r="H50" s="28" t="n"/>
      <c r="I50" s="28" t="n"/>
      <c r="J50" s="41" t="n"/>
      <c r="K50" s="28">
        <f>IF(J50="","",TODAY()-J50)</f>
        <v/>
      </c>
      <c r="L50" s="28" t="n"/>
      <c r="M50" s="42" t="n"/>
    </row>
    <row r="51">
      <c r="A51" s="18" t="n"/>
      <c r="B51" s="41" t="n"/>
      <c r="C51" s="18" t="n"/>
      <c r="D51" s="28" t="n"/>
      <c r="E51" s="19" t="n"/>
      <c r="F51" s="28" t="n"/>
      <c r="G51" s="28" t="n"/>
      <c r="H51" s="28" t="n"/>
      <c r="I51" s="28" t="n"/>
      <c r="J51" s="41" t="n"/>
      <c r="K51" s="28">
        <f>IF(J51="","",TODAY()-J51)</f>
        <v/>
      </c>
      <c r="L51" s="28" t="n"/>
      <c r="M51" s="42" t="n"/>
    </row>
    <row r="52">
      <c r="A52" s="18" t="n"/>
      <c r="B52" s="41" t="n"/>
      <c r="C52" s="18" t="n"/>
      <c r="D52" s="28" t="n"/>
      <c r="E52" s="19" t="n"/>
      <c r="F52" s="28" t="n"/>
      <c r="G52" s="28" t="n"/>
      <c r="H52" s="28" t="n"/>
      <c r="I52" s="28" t="n"/>
      <c r="J52" s="41" t="n"/>
      <c r="K52" s="28">
        <f>IF(J52="","",TODAY()-J52)</f>
        <v/>
      </c>
      <c r="L52" s="28" t="n"/>
      <c r="M52" s="42" t="n"/>
    </row>
    <row r="53">
      <c r="A53" s="18" t="n"/>
      <c r="B53" s="41" t="n"/>
      <c r="C53" s="18" t="n"/>
      <c r="D53" s="28" t="n"/>
      <c r="E53" s="19" t="n"/>
      <c r="F53" s="28" t="n"/>
      <c r="G53" s="28" t="n"/>
      <c r="H53" s="28" t="n"/>
      <c r="I53" s="28" t="n"/>
      <c r="J53" s="41" t="n"/>
      <c r="K53" s="28">
        <f>IF(J53="","",TODAY()-J53)</f>
        <v/>
      </c>
      <c r="L53" s="28" t="n"/>
      <c r="M53" s="42" t="n"/>
    </row>
    <row r="55">
      <c r="A55" t="inlineStr">
        <is>
          <t>Open:</t>
        </is>
      </c>
      <c r="B55">
        <f>COUNTIF(L4:L53,"OPEN")</f>
        <v/>
      </c>
      <c r="C55" t="inlineStr">
        <is>
          <t>Need Follow-up:</t>
        </is>
      </c>
      <c r="D55" s="43">
        <f>SUMPRODUCT((L4:L53="OPEN")*(K4:K53&gt;=7))</f>
        <v/>
      </c>
    </row>
  </sheetData>
  <autoFilter ref="A3:M53"/>
  <mergeCells count="2">
    <mergeCell ref="A2:M2"/>
    <mergeCell ref="A1:M1"/>
  </mergeCells>
  <conditionalFormatting sqref="A4:M53">
    <cfRule type="expression" priority="1" dxfId="0">
      <formula>AND($L4="OPEN",$K4&gt;=7)</formula>
    </cfRule>
    <cfRule type="expression" priority="2" dxfId="1">
      <formula>AND($L4="OPEN",$K4&gt;=3,$K4&lt;7)</formula>
    </cfRule>
    <cfRule type="expression" priority="3" dxfId="2">
      <formula>$L4="CLOSED"</formula>
    </cfRule>
  </conditionalFormatting>
  <dataValidations count="2">
    <dataValidation sqref="F4 F5 F6 F7 F8 F9 F10 F11 F12 F13 F14 F15 F16 F17 F18 F19 F20 F21 F22 F23 F24 F25 F26 F27 F28 F29 F30 F31 F32 F33 F34 F35 F36 F37 F38 F39 F40 F41 F42 F43 F44 F45 F46 F47 F48 F49 F50 F51 F52 F53 G4 G5 G6 G7 G8 G9 G10 G11 G12 G13 G14 G15 G16 G17 G18 G19 G20 G21 G22 G23 G24 G25 G26 G27 G28 G29 G30 G31 G32 G33 G34 G35 G36 G37 G38 G39 G40 G41 G42 G43 G44 G45 G46 G47 G48 G49 G50 G51 G52 G53 H4 H5 H6 H7 H8 H9 H10 H11 H12 H13 H14 H15 H16 H17 H18 H19 H20 H21 H22 H23 H24 H25 H26 H27 H28 H29 H30 H31 H32 H33 H34 H35 H36 H37 H38 H39 H40 H41 H42 H43 H44 H45 H46 H47 H48 H49 H50 H51 H52 H53" showDropDown="0" showInputMessage="0" showErrorMessage="0" allowBlank="0" type="list">
      <formula1>"Yes,No,DONE"</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"OPEN,CLOSED,ON HOLD"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8"/>
  <sheetViews>
    <sheetView workbookViewId="0">
      <pane ySplit="8" topLeftCell="A9" activePane="bottomLeft" state="frozen"/>
      <selection pane="bottomLeft" activeCell="A1" sqref="A1"/>
    </sheetView>
  </sheetViews>
  <sheetFormatPr baseColWidth="8" defaultRowHeight="15"/>
  <cols>
    <col width="12" customWidth="1" min="1" max="1"/>
    <col width="14" customWidth="1" min="2" max="2"/>
    <col width="20" customWidth="1" min="3" max="3"/>
    <col width="12" customWidth="1" min="4" max="4"/>
    <col width="12" customWidth="1" min="5" max="5"/>
    <col width="12" customWidth="1" min="6" max="6"/>
    <col width="10" customWidth="1" min="7" max="7"/>
    <col width="25" customWidth="1" min="8" max="8"/>
  </cols>
  <sheetData>
    <row r="1" ht="28" customHeight="1">
      <c r="A1" s="40" t="inlineStr">
        <is>
          <t>PO TRACKING - Create Date to Complete Date Analysis</t>
        </is>
      </c>
    </row>
    <row r="3">
      <c r="A3" s="32" t="inlineStr">
        <is>
          <t>YTD SUMMARY</t>
        </is>
      </c>
    </row>
    <row r="4">
      <c r="A4" t="inlineStr">
        <is>
          <t>Current Year:</t>
        </is>
      </c>
      <c r="B4">
        <f>YEAR(TODAY())</f>
        <v/>
      </c>
      <c r="C4" t="inlineStr">
        <is>
          <t>Previous Year:</t>
        </is>
      </c>
      <c r="D4">
        <f>YEAR(TODAY())-1</f>
        <v/>
      </c>
    </row>
    <row r="5">
      <c r="A5" t="inlineStr">
        <is>
          <t>YTD Orders:</t>
        </is>
      </c>
      <c r="B5">
        <f>COUNTIFS(D9:D500,"&gt;="&amp;DATE(YEAR(TODAY()),1,1),D9:D500,"&lt;="&amp;TODAY())</f>
        <v/>
      </c>
      <c r="C5" t="inlineStr">
        <is>
          <t>YTD Completed:</t>
        </is>
      </c>
      <c r="D5">
        <f>COUNTIFS(E9:E500,"&gt;="&amp;DATE(YEAR(TODAY()),1,1),E9:E500,"&lt;="&amp;TODAY())</f>
        <v/>
      </c>
    </row>
    <row r="6">
      <c r="A6" t="inlineStr">
        <is>
          <t>Avg Days to Complete:</t>
        </is>
      </c>
      <c r="B6" s="44">
        <f>IFERROR(AVERAGEIFS(F9:F500,F9:F500,"&gt;0",D9:D500,"&gt;="&amp;DATE(YEAR(TODAY()),1,1)),0)</f>
        <v/>
      </c>
    </row>
    <row r="8">
      <c r="A8" s="17" t="inlineStr">
        <is>
          <t>PO #</t>
        </is>
      </c>
      <c r="B8" s="17" t="inlineStr">
        <is>
          <t>Order #</t>
        </is>
      </c>
      <c r="C8" s="17" t="inlineStr">
        <is>
          <t>Customer</t>
        </is>
      </c>
      <c r="D8" s="17" t="inlineStr">
        <is>
          <t>Create Date</t>
        </is>
      </c>
      <c r="E8" s="17" t="inlineStr">
        <is>
          <t>Complete Date</t>
        </is>
      </c>
      <c r="F8" s="17" t="inlineStr">
        <is>
          <t>Days</t>
        </is>
      </c>
      <c r="G8" s="17" t="inlineStr">
        <is>
          <t>Status</t>
        </is>
      </c>
      <c r="H8" s="17" t="inlineStr">
        <is>
          <t>Notes</t>
        </is>
      </c>
    </row>
    <row r="9">
      <c r="A9" s="18" t="n"/>
      <c r="B9" s="18" t="n"/>
      <c r="C9" s="18" t="n"/>
      <c r="D9" s="45" t="n"/>
      <c r="E9" s="45" t="n"/>
      <c r="F9" s="28">
        <f>IF(AND(D9&lt;&gt;"",E9&lt;&gt;""),E9-D9,IF(D9&lt;&gt;"",TODAY()-D9,""))</f>
        <v/>
      </c>
      <c r="G9" s="28" t="n"/>
      <c r="H9" s="18" t="n"/>
    </row>
    <row r="10">
      <c r="A10" s="18" t="n"/>
      <c r="B10" s="18" t="n"/>
      <c r="C10" s="18" t="n"/>
      <c r="D10" s="45" t="n"/>
      <c r="E10" s="45" t="n"/>
      <c r="F10" s="28">
        <f>IF(AND(D10&lt;&gt;"",E10&lt;&gt;""),E10-D10,IF(D10&lt;&gt;"",TODAY()-D10,""))</f>
        <v/>
      </c>
      <c r="G10" s="28" t="n"/>
      <c r="H10" s="18" t="n"/>
    </row>
    <row r="11">
      <c r="A11" s="18" t="n"/>
      <c r="B11" s="18" t="n"/>
      <c r="C11" s="18" t="n"/>
      <c r="D11" s="45" t="n"/>
      <c r="E11" s="45" t="n"/>
      <c r="F11" s="28">
        <f>IF(AND(D11&lt;&gt;"",E11&lt;&gt;""),E11-D11,IF(D11&lt;&gt;"",TODAY()-D11,""))</f>
        <v/>
      </c>
      <c r="G11" s="28" t="n"/>
      <c r="H11" s="18" t="n"/>
    </row>
    <row r="12">
      <c r="A12" s="18" t="n"/>
      <c r="B12" s="18" t="n"/>
      <c r="C12" s="18" t="n"/>
      <c r="D12" s="45" t="n"/>
      <c r="E12" s="45" t="n"/>
      <c r="F12" s="28">
        <f>IF(AND(D12&lt;&gt;"",E12&lt;&gt;""),E12-D12,IF(D12&lt;&gt;"",TODAY()-D12,""))</f>
        <v/>
      </c>
      <c r="G12" s="28" t="n"/>
      <c r="H12" s="18" t="n"/>
    </row>
    <row r="13">
      <c r="A13" s="18" t="n"/>
      <c r="B13" s="18" t="n"/>
      <c r="C13" s="18" t="n"/>
      <c r="D13" s="45" t="n"/>
      <c r="E13" s="45" t="n"/>
      <c r="F13" s="28">
        <f>IF(AND(D13&lt;&gt;"",E13&lt;&gt;""),E13-D13,IF(D13&lt;&gt;"",TODAY()-D13,""))</f>
        <v/>
      </c>
      <c r="G13" s="28" t="n"/>
      <c r="H13" s="18" t="n"/>
    </row>
    <row r="14">
      <c r="A14" s="18" t="n"/>
      <c r="B14" s="18" t="n"/>
      <c r="C14" s="18" t="n"/>
      <c r="D14" s="45" t="n"/>
      <c r="E14" s="45" t="n"/>
      <c r="F14" s="28">
        <f>IF(AND(D14&lt;&gt;"",E14&lt;&gt;""),E14-D14,IF(D14&lt;&gt;"",TODAY()-D14,""))</f>
        <v/>
      </c>
      <c r="G14" s="28" t="n"/>
      <c r="H14" s="18" t="n"/>
    </row>
    <row r="15">
      <c r="A15" s="18" t="n"/>
      <c r="B15" s="18" t="n"/>
      <c r="C15" s="18" t="n"/>
      <c r="D15" s="45" t="n"/>
      <c r="E15" s="45" t="n"/>
      <c r="F15" s="28">
        <f>IF(AND(D15&lt;&gt;"",E15&lt;&gt;""),E15-D15,IF(D15&lt;&gt;"",TODAY()-D15,""))</f>
        <v/>
      </c>
      <c r="G15" s="28" t="n"/>
      <c r="H15" s="18" t="n"/>
    </row>
    <row r="16">
      <c r="A16" s="18" t="n"/>
      <c r="B16" s="18" t="n"/>
      <c r="C16" s="18" t="n"/>
      <c r="D16" s="45" t="n"/>
      <c r="E16" s="45" t="n"/>
      <c r="F16" s="28">
        <f>IF(AND(D16&lt;&gt;"",E16&lt;&gt;""),E16-D16,IF(D16&lt;&gt;"",TODAY()-D16,""))</f>
        <v/>
      </c>
      <c r="G16" s="28" t="n"/>
      <c r="H16" s="18" t="n"/>
    </row>
    <row r="17">
      <c r="A17" s="18" t="n"/>
      <c r="B17" s="18" t="n"/>
      <c r="C17" s="18" t="n"/>
      <c r="D17" s="45" t="n"/>
      <c r="E17" s="45" t="n"/>
      <c r="F17" s="28">
        <f>IF(AND(D17&lt;&gt;"",E17&lt;&gt;""),E17-D17,IF(D17&lt;&gt;"",TODAY()-D17,""))</f>
        <v/>
      </c>
      <c r="G17" s="28" t="n"/>
      <c r="H17" s="18" t="n"/>
    </row>
    <row r="18">
      <c r="A18" s="18" t="n"/>
      <c r="B18" s="18" t="n"/>
      <c r="C18" s="18" t="n"/>
      <c r="D18" s="45" t="n"/>
      <c r="E18" s="45" t="n"/>
      <c r="F18" s="28">
        <f>IF(AND(D18&lt;&gt;"",E18&lt;&gt;""),E18-D18,IF(D18&lt;&gt;"",TODAY()-D18,""))</f>
        <v/>
      </c>
      <c r="G18" s="28" t="n"/>
      <c r="H18" s="18" t="n"/>
    </row>
    <row r="19">
      <c r="A19" s="18" t="n"/>
      <c r="B19" s="18" t="n"/>
      <c r="C19" s="18" t="n"/>
      <c r="D19" s="45" t="n"/>
      <c r="E19" s="45" t="n"/>
      <c r="F19" s="28">
        <f>IF(AND(D19&lt;&gt;"",E19&lt;&gt;""),E19-D19,IF(D19&lt;&gt;"",TODAY()-D19,""))</f>
        <v/>
      </c>
      <c r="G19" s="28" t="n"/>
      <c r="H19" s="18" t="n"/>
    </row>
    <row r="20">
      <c r="A20" s="18" t="n"/>
      <c r="B20" s="18" t="n"/>
      <c r="C20" s="18" t="n"/>
      <c r="D20" s="45" t="n"/>
      <c r="E20" s="45" t="n"/>
      <c r="F20" s="28">
        <f>IF(AND(D20&lt;&gt;"",E20&lt;&gt;""),E20-D20,IF(D20&lt;&gt;"",TODAY()-D20,""))</f>
        <v/>
      </c>
      <c r="G20" s="28" t="n"/>
      <c r="H20" s="18" t="n"/>
    </row>
    <row r="21">
      <c r="A21" s="18" t="n"/>
      <c r="B21" s="18" t="n"/>
      <c r="C21" s="18" t="n"/>
      <c r="D21" s="45" t="n"/>
      <c r="E21" s="45" t="n"/>
      <c r="F21" s="28">
        <f>IF(AND(D21&lt;&gt;"",E21&lt;&gt;""),E21-D21,IF(D21&lt;&gt;"",TODAY()-D21,""))</f>
        <v/>
      </c>
      <c r="G21" s="28" t="n"/>
      <c r="H21" s="18" t="n"/>
    </row>
    <row r="22">
      <c r="A22" s="18" t="n"/>
      <c r="B22" s="18" t="n"/>
      <c r="C22" s="18" t="n"/>
      <c r="D22" s="45" t="n"/>
      <c r="E22" s="45" t="n"/>
      <c r="F22" s="28">
        <f>IF(AND(D22&lt;&gt;"",E22&lt;&gt;""),E22-D22,IF(D22&lt;&gt;"",TODAY()-D22,""))</f>
        <v/>
      </c>
      <c r="G22" s="28" t="n"/>
      <c r="H22" s="18" t="n"/>
    </row>
    <row r="23">
      <c r="A23" s="18" t="n"/>
      <c r="B23" s="18" t="n"/>
      <c r="C23" s="18" t="n"/>
      <c r="D23" s="45" t="n"/>
      <c r="E23" s="45" t="n"/>
      <c r="F23" s="28">
        <f>IF(AND(D23&lt;&gt;"",E23&lt;&gt;""),E23-D23,IF(D23&lt;&gt;"",TODAY()-D23,""))</f>
        <v/>
      </c>
      <c r="G23" s="28" t="n"/>
      <c r="H23" s="18" t="n"/>
    </row>
    <row r="24">
      <c r="A24" s="18" t="n"/>
      <c r="B24" s="18" t="n"/>
      <c r="C24" s="18" t="n"/>
      <c r="D24" s="45" t="n"/>
      <c r="E24" s="45" t="n"/>
      <c r="F24" s="28">
        <f>IF(AND(D24&lt;&gt;"",E24&lt;&gt;""),E24-D24,IF(D24&lt;&gt;"",TODAY()-D24,""))</f>
        <v/>
      </c>
      <c r="G24" s="28" t="n"/>
      <c r="H24" s="18" t="n"/>
    </row>
    <row r="25">
      <c r="A25" s="18" t="n"/>
      <c r="B25" s="18" t="n"/>
      <c r="C25" s="18" t="n"/>
      <c r="D25" s="45" t="n"/>
      <c r="E25" s="45" t="n"/>
      <c r="F25" s="28">
        <f>IF(AND(D25&lt;&gt;"",E25&lt;&gt;""),E25-D25,IF(D25&lt;&gt;"",TODAY()-D25,""))</f>
        <v/>
      </c>
      <c r="G25" s="28" t="n"/>
      <c r="H25" s="18" t="n"/>
    </row>
    <row r="26">
      <c r="A26" s="18" t="n"/>
      <c r="B26" s="18" t="n"/>
      <c r="C26" s="18" t="n"/>
      <c r="D26" s="45" t="n"/>
      <c r="E26" s="45" t="n"/>
      <c r="F26" s="28">
        <f>IF(AND(D26&lt;&gt;"",E26&lt;&gt;""),E26-D26,IF(D26&lt;&gt;"",TODAY()-D26,""))</f>
        <v/>
      </c>
      <c r="G26" s="28" t="n"/>
      <c r="H26" s="18" t="n"/>
    </row>
    <row r="27">
      <c r="A27" s="18" t="n"/>
      <c r="B27" s="18" t="n"/>
      <c r="C27" s="18" t="n"/>
      <c r="D27" s="45" t="n"/>
      <c r="E27" s="45" t="n"/>
      <c r="F27" s="28">
        <f>IF(AND(D27&lt;&gt;"",E27&lt;&gt;""),E27-D27,IF(D27&lt;&gt;"",TODAY()-D27,""))</f>
        <v/>
      </c>
      <c r="G27" s="28" t="n"/>
      <c r="H27" s="18" t="n"/>
    </row>
    <row r="28">
      <c r="A28" s="18" t="n"/>
      <c r="B28" s="18" t="n"/>
      <c r="C28" s="18" t="n"/>
      <c r="D28" s="45" t="n"/>
      <c r="E28" s="45" t="n"/>
      <c r="F28" s="28">
        <f>IF(AND(D28&lt;&gt;"",E28&lt;&gt;""),E28-D28,IF(D28&lt;&gt;"",TODAY()-D28,""))</f>
        <v/>
      </c>
      <c r="G28" s="28" t="n"/>
      <c r="H28" s="18" t="n"/>
    </row>
    <row r="29">
      <c r="A29" s="18" t="n"/>
      <c r="B29" s="18" t="n"/>
      <c r="C29" s="18" t="n"/>
      <c r="D29" s="45" t="n"/>
      <c r="E29" s="45" t="n"/>
      <c r="F29" s="28">
        <f>IF(AND(D29&lt;&gt;"",E29&lt;&gt;""),E29-D29,IF(D29&lt;&gt;"",TODAY()-D29,""))</f>
        <v/>
      </c>
      <c r="G29" s="28" t="n"/>
      <c r="H29" s="18" t="n"/>
    </row>
    <row r="30">
      <c r="A30" s="18" t="n"/>
      <c r="B30" s="18" t="n"/>
      <c r="C30" s="18" t="n"/>
      <c r="D30" s="45" t="n"/>
      <c r="E30" s="45" t="n"/>
      <c r="F30" s="28">
        <f>IF(AND(D30&lt;&gt;"",E30&lt;&gt;""),E30-D30,IF(D30&lt;&gt;"",TODAY()-D30,""))</f>
        <v/>
      </c>
      <c r="G30" s="28" t="n"/>
      <c r="H30" s="18" t="n"/>
    </row>
    <row r="31">
      <c r="A31" s="18" t="n"/>
      <c r="B31" s="18" t="n"/>
      <c r="C31" s="18" t="n"/>
      <c r="D31" s="45" t="n"/>
      <c r="E31" s="45" t="n"/>
      <c r="F31" s="28">
        <f>IF(AND(D31&lt;&gt;"",E31&lt;&gt;""),E31-D31,IF(D31&lt;&gt;"",TODAY()-D31,""))</f>
        <v/>
      </c>
      <c r="G31" s="28" t="n"/>
      <c r="H31" s="18" t="n"/>
    </row>
    <row r="32">
      <c r="A32" s="18" t="n"/>
      <c r="B32" s="18" t="n"/>
      <c r="C32" s="18" t="n"/>
      <c r="D32" s="45" t="n"/>
      <c r="E32" s="45" t="n"/>
      <c r="F32" s="28">
        <f>IF(AND(D32&lt;&gt;"",E32&lt;&gt;""),E32-D32,IF(D32&lt;&gt;"",TODAY()-D32,""))</f>
        <v/>
      </c>
      <c r="G32" s="28" t="n"/>
      <c r="H32" s="18" t="n"/>
    </row>
    <row r="33">
      <c r="A33" s="18" t="n"/>
      <c r="B33" s="18" t="n"/>
      <c r="C33" s="18" t="n"/>
      <c r="D33" s="45" t="n"/>
      <c r="E33" s="45" t="n"/>
      <c r="F33" s="28">
        <f>IF(AND(D33&lt;&gt;"",E33&lt;&gt;""),E33-D33,IF(D33&lt;&gt;"",TODAY()-D33,""))</f>
        <v/>
      </c>
      <c r="G33" s="28" t="n"/>
      <c r="H33" s="18" t="n"/>
    </row>
    <row r="34">
      <c r="A34" s="18" t="n"/>
      <c r="B34" s="18" t="n"/>
      <c r="C34" s="18" t="n"/>
      <c r="D34" s="45" t="n"/>
      <c r="E34" s="45" t="n"/>
      <c r="F34" s="28">
        <f>IF(AND(D34&lt;&gt;"",E34&lt;&gt;""),E34-D34,IF(D34&lt;&gt;"",TODAY()-D34,""))</f>
        <v/>
      </c>
      <c r="G34" s="28" t="n"/>
      <c r="H34" s="18" t="n"/>
    </row>
    <row r="35">
      <c r="A35" s="18" t="n"/>
      <c r="B35" s="18" t="n"/>
      <c r="C35" s="18" t="n"/>
      <c r="D35" s="45" t="n"/>
      <c r="E35" s="45" t="n"/>
      <c r="F35" s="28">
        <f>IF(AND(D35&lt;&gt;"",E35&lt;&gt;""),E35-D35,IF(D35&lt;&gt;"",TODAY()-D35,""))</f>
        <v/>
      </c>
      <c r="G35" s="28" t="n"/>
      <c r="H35" s="18" t="n"/>
    </row>
    <row r="36">
      <c r="A36" s="18" t="n"/>
      <c r="B36" s="18" t="n"/>
      <c r="C36" s="18" t="n"/>
      <c r="D36" s="45" t="n"/>
      <c r="E36" s="45" t="n"/>
      <c r="F36" s="28">
        <f>IF(AND(D36&lt;&gt;"",E36&lt;&gt;""),E36-D36,IF(D36&lt;&gt;"",TODAY()-D36,""))</f>
        <v/>
      </c>
      <c r="G36" s="28" t="n"/>
      <c r="H36" s="18" t="n"/>
    </row>
    <row r="37">
      <c r="A37" s="18" t="n"/>
      <c r="B37" s="18" t="n"/>
      <c r="C37" s="18" t="n"/>
      <c r="D37" s="45" t="n"/>
      <c r="E37" s="45" t="n"/>
      <c r="F37" s="28">
        <f>IF(AND(D37&lt;&gt;"",E37&lt;&gt;""),E37-D37,IF(D37&lt;&gt;"",TODAY()-D37,""))</f>
        <v/>
      </c>
      <c r="G37" s="28" t="n"/>
      <c r="H37" s="18" t="n"/>
    </row>
    <row r="38">
      <c r="A38" s="18" t="n"/>
      <c r="B38" s="18" t="n"/>
      <c r="C38" s="18" t="n"/>
      <c r="D38" s="45" t="n"/>
      <c r="E38" s="45" t="n"/>
      <c r="F38" s="28">
        <f>IF(AND(D38&lt;&gt;"",E38&lt;&gt;""),E38-D38,IF(D38&lt;&gt;"",TODAY()-D38,""))</f>
        <v/>
      </c>
      <c r="G38" s="28" t="n"/>
      <c r="H38" s="18" t="n"/>
    </row>
    <row r="39">
      <c r="A39" s="18" t="n"/>
      <c r="B39" s="18" t="n"/>
      <c r="C39" s="18" t="n"/>
      <c r="D39" s="45" t="n"/>
      <c r="E39" s="45" t="n"/>
      <c r="F39" s="28">
        <f>IF(AND(D39&lt;&gt;"",E39&lt;&gt;""),E39-D39,IF(D39&lt;&gt;"",TODAY()-D39,""))</f>
        <v/>
      </c>
      <c r="G39" s="28" t="n"/>
      <c r="H39" s="18" t="n"/>
    </row>
    <row r="40">
      <c r="A40" s="18" t="n"/>
      <c r="B40" s="18" t="n"/>
      <c r="C40" s="18" t="n"/>
      <c r="D40" s="45" t="n"/>
      <c r="E40" s="45" t="n"/>
      <c r="F40" s="28">
        <f>IF(AND(D40&lt;&gt;"",E40&lt;&gt;""),E40-D40,IF(D40&lt;&gt;"",TODAY()-D40,""))</f>
        <v/>
      </c>
      <c r="G40" s="28" t="n"/>
      <c r="H40" s="18" t="n"/>
    </row>
    <row r="41">
      <c r="A41" s="18" t="n"/>
      <c r="B41" s="18" t="n"/>
      <c r="C41" s="18" t="n"/>
      <c r="D41" s="45" t="n"/>
      <c r="E41" s="45" t="n"/>
      <c r="F41" s="28">
        <f>IF(AND(D41&lt;&gt;"",E41&lt;&gt;""),E41-D41,IF(D41&lt;&gt;"",TODAY()-D41,""))</f>
        <v/>
      </c>
      <c r="G41" s="28" t="n"/>
      <c r="H41" s="18" t="n"/>
    </row>
    <row r="42">
      <c r="A42" s="18" t="n"/>
      <c r="B42" s="18" t="n"/>
      <c r="C42" s="18" t="n"/>
      <c r="D42" s="45" t="n"/>
      <c r="E42" s="45" t="n"/>
      <c r="F42" s="28">
        <f>IF(AND(D42&lt;&gt;"",E42&lt;&gt;""),E42-D42,IF(D42&lt;&gt;"",TODAY()-D42,""))</f>
        <v/>
      </c>
      <c r="G42" s="28" t="n"/>
      <c r="H42" s="18" t="n"/>
    </row>
    <row r="43">
      <c r="A43" s="18" t="n"/>
      <c r="B43" s="18" t="n"/>
      <c r="C43" s="18" t="n"/>
      <c r="D43" s="45" t="n"/>
      <c r="E43" s="45" t="n"/>
      <c r="F43" s="28">
        <f>IF(AND(D43&lt;&gt;"",E43&lt;&gt;""),E43-D43,IF(D43&lt;&gt;"",TODAY()-D43,""))</f>
        <v/>
      </c>
      <c r="G43" s="28" t="n"/>
      <c r="H43" s="18" t="n"/>
    </row>
    <row r="44">
      <c r="A44" s="18" t="n"/>
      <c r="B44" s="18" t="n"/>
      <c r="C44" s="18" t="n"/>
      <c r="D44" s="45" t="n"/>
      <c r="E44" s="45" t="n"/>
      <c r="F44" s="28">
        <f>IF(AND(D44&lt;&gt;"",E44&lt;&gt;""),E44-D44,IF(D44&lt;&gt;"",TODAY()-D44,""))</f>
        <v/>
      </c>
      <c r="G44" s="28" t="n"/>
      <c r="H44" s="18" t="n"/>
    </row>
    <row r="45">
      <c r="A45" s="18" t="n"/>
      <c r="B45" s="18" t="n"/>
      <c r="C45" s="18" t="n"/>
      <c r="D45" s="45" t="n"/>
      <c r="E45" s="45" t="n"/>
      <c r="F45" s="28">
        <f>IF(AND(D45&lt;&gt;"",E45&lt;&gt;""),E45-D45,IF(D45&lt;&gt;"",TODAY()-D45,""))</f>
        <v/>
      </c>
      <c r="G45" s="28" t="n"/>
      <c r="H45" s="18" t="n"/>
    </row>
    <row r="46">
      <c r="A46" s="18" t="n"/>
      <c r="B46" s="18" t="n"/>
      <c r="C46" s="18" t="n"/>
      <c r="D46" s="45" t="n"/>
      <c r="E46" s="45" t="n"/>
      <c r="F46" s="28">
        <f>IF(AND(D46&lt;&gt;"",E46&lt;&gt;""),E46-D46,IF(D46&lt;&gt;"",TODAY()-D46,""))</f>
        <v/>
      </c>
      <c r="G46" s="28" t="n"/>
      <c r="H46" s="18" t="n"/>
    </row>
    <row r="47">
      <c r="A47" s="18" t="n"/>
      <c r="B47" s="18" t="n"/>
      <c r="C47" s="18" t="n"/>
      <c r="D47" s="45" t="n"/>
      <c r="E47" s="45" t="n"/>
      <c r="F47" s="28">
        <f>IF(AND(D47&lt;&gt;"",E47&lt;&gt;""),E47-D47,IF(D47&lt;&gt;"",TODAY()-D47,""))</f>
        <v/>
      </c>
      <c r="G47" s="28" t="n"/>
      <c r="H47" s="18" t="n"/>
    </row>
    <row r="48">
      <c r="A48" s="18" t="n"/>
      <c r="B48" s="18" t="n"/>
      <c r="C48" s="18" t="n"/>
      <c r="D48" s="45" t="n"/>
      <c r="E48" s="45" t="n"/>
      <c r="F48" s="28">
        <f>IF(AND(D48&lt;&gt;"",E48&lt;&gt;""),E48-D48,IF(D48&lt;&gt;"",TODAY()-D48,""))</f>
        <v/>
      </c>
      <c r="G48" s="28" t="n"/>
      <c r="H48" s="18" t="n"/>
    </row>
    <row r="49">
      <c r="A49" s="18" t="n"/>
      <c r="B49" s="18" t="n"/>
      <c r="C49" s="18" t="n"/>
      <c r="D49" s="45" t="n"/>
      <c r="E49" s="45" t="n"/>
      <c r="F49" s="28">
        <f>IF(AND(D49&lt;&gt;"",E49&lt;&gt;""),E49-D49,IF(D49&lt;&gt;"",TODAY()-D49,""))</f>
        <v/>
      </c>
      <c r="G49" s="28" t="n"/>
      <c r="H49" s="18" t="n"/>
    </row>
    <row r="50">
      <c r="A50" s="18" t="n"/>
      <c r="B50" s="18" t="n"/>
      <c r="C50" s="18" t="n"/>
      <c r="D50" s="45" t="n"/>
      <c r="E50" s="45" t="n"/>
      <c r="F50" s="28">
        <f>IF(AND(D50&lt;&gt;"",E50&lt;&gt;""),E50-D50,IF(D50&lt;&gt;"",TODAY()-D50,""))</f>
        <v/>
      </c>
      <c r="G50" s="28" t="n"/>
      <c r="H50" s="18" t="n"/>
    </row>
    <row r="51">
      <c r="A51" s="18" t="n"/>
      <c r="B51" s="18" t="n"/>
      <c r="C51" s="18" t="n"/>
      <c r="D51" s="45" t="n"/>
      <c r="E51" s="45" t="n"/>
      <c r="F51" s="28">
        <f>IF(AND(D51&lt;&gt;"",E51&lt;&gt;""),E51-D51,IF(D51&lt;&gt;"",TODAY()-D51,""))</f>
        <v/>
      </c>
      <c r="G51" s="28" t="n"/>
      <c r="H51" s="18" t="n"/>
    </row>
    <row r="52">
      <c r="A52" s="18" t="n"/>
      <c r="B52" s="18" t="n"/>
      <c r="C52" s="18" t="n"/>
      <c r="D52" s="45" t="n"/>
      <c r="E52" s="45" t="n"/>
      <c r="F52" s="28">
        <f>IF(AND(D52&lt;&gt;"",E52&lt;&gt;""),E52-D52,IF(D52&lt;&gt;"",TODAY()-D52,""))</f>
        <v/>
      </c>
      <c r="G52" s="28" t="n"/>
      <c r="H52" s="18" t="n"/>
    </row>
    <row r="53">
      <c r="A53" s="18" t="n"/>
      <c r="B53" s="18" t="n"/>
      <c r="C53" s="18" t="n"/>
      <c r="D53" s="45" t="n"/>
      <c r="E53" s="45" t="n"/>
      <c r="F53" s="28">
        <f>IF(AND(D53&lt;&gt;"",E53&lt;&gt;""),E53-D53,IF(D53&lt;&gt;"",TODAY()-D53,""))</f>
        <v/>
      </c>
      <c r="G53" s="28" t="n"/>
      <c r="H53" s="18" t="n"/>
    </row>
    <row r="54">
      <c r="A54" s="18" t="n"/>
      <c r="B54" s="18" t="n"/>
      <c r="C54" s="18" t="n"/>
      <c r="D54" s="45" t="n"/>
      <c r="E54" s="45" t="n"/>
      <c r="F54" s="28">
        <f>IF(AND(D54&lt;&gt;"",E54&lt;&gt;""),E54-D54,IF(D54&lt;&gt;"",TODAY()-D54,""))</f>
        <v/>
      </c>
      <c r="G54" s="28" t="n"/>
      <c r="H54" s="18" t="n"/>
    </row>
    <row r="55">
      <c r="A55" s="18" t="n"/>
      <c r="B55" s="18" t="n"/>
      <c r="C55" s="18" t="n"/>
      <c r="D55" s="45" t="n"/>
      <c r="E55" s="45" t="n"/>
      <c r="F55" s="28">
        <f>IF(AND(D55&lt;&gt;"",E55&lt;&gt;""),E55-D55,IF(D55&lt;&gt;"",TODAY()-D55,""))</f>
        <v/>
      </c>
      <c r="G55" s="28" t="n"/>
      <c r="H55" s="18" t="n"/>
    </row>
    <row r="56">
      <c r="A56" s="18" t="n"/>
      <c r="B56" s="18" t="n"/>
      <c r="C56" s="18" t="n"/>
      <c r="D56" s="45" t="n"/>
      <c r="E56" s="45" t="n"/>
      <c r="F56" s="28">
        <f>IF(AND(D56&lt;&gt;"",E56&lt;&gt;""),E56-D56,IF(D56&lt;&gt;"",TODAY()-D56,""))</f>
        <v/>
      </c>
      <c r="G56" s="28" t="n"/>
      <c r="H56" s="18" t="n"/>
    </row>
    <row r="57">
      <c r="A57" s="18" t="n"/>
      <c r="B57" s="18" t="n"/>
      <c r="C57" s="18" t="n"/>
      <c r="D57" s="45" t="n"/>
      <c r="E57" s="45" t="n"/>
      <c r="F57" s="28">
        <f>IF(AND(D57&lt;&gt;"",E57&lt;&gt;""),E57-D57,IF(D57&lt;&gt;"",TODAY()-D57,""))</f>
        <v/>
      </c>
      <c r="G57" s="28" t="n"/>
      <c r="H57" s="18" t="n"/>
    </row>
    <row r="58">
      <c r="A58" s="18" t="n"/>
      <c r="B58" s="18" t="n"/>
      <c r="C58" s="18" t="n"/>
      <c r="D58" s="45" t="n"/>
      <c r="E58" s="45" t="n"/>
      <c r="F58" s="28">
        <f>IF(AND(D58&lt;&gt;"",E58&lt;&gt;""),E58-D58,IF(D58&lt;&gt;"",TODAY()-D58,""))</f>
        <v/>
      </c>
      <c r="G58" s="28" t="n"/>
      <c r="H58" s="18" t="n"/>
    </row>
    <row r="59">
      <c r="A59" s="18" t="n"/>
      <c r="B59" s="18" t="n"/>
      <c r="C59" s="18" t="n"/>
      <c r="D59" s="45" t="n"/>
      <c r="E59" s="45" t="n"/>
      <c r="F59" s="28">
        <f>IF(AND(D59&lt;&gt;"",E59&lt;&gt;""),E59-D59,IF(D59&lt;&gt;"",TODAY()-D59,""))</f>
        <v/>
      </c>
      <c r="G59" s="28" t="n"/>
      <c r="H59" s="18" t="n"/>
    </row>
    <row r="60">
      <c r="A60" s="18" t="n"/>
      <c r="B60" s="18" t="n"/>
      <c r="C60" s="18" t="n"/>
      <c r="D60" s="45" t="n"/>
      <c r="E60" s="45" t="n"/>
      <c r="F60" s="28">
        <f>IF(AND(D60&lt;&gt;"",E60&lt;&gt;""),E60-D60,IF(D60&lt;&gt;"",TODAY()-D60,""))</f>
        <v/>
      </c>
      <c r="G60" s="28" t="n"/>
      <c r="H60" s="18" t="n"/>
    </row>
    <row r="61">
      <c r="A61" s="18" t="n"/>
      <c r="B61" s="18" t="n"/>
      <c r="C61" s="18" t="n"/>
      <c r="D61" s="45" t="n"/>
      <c r="E61" s="45" t="n"/>
      <c r="F61" s="28">
        <f>IF(AND(D61&lt;&gt;"",E61&lt;&gt;""),E61-D61,IF(D61&lt;&gt;"",TODAY()-D61,""))</f>
        <v/>
      </c>
      <c r="G61" s="28" t="n"/>
      <c r="H61" s="18" t="n"/>
    </row>
    <row r="62">
      <c r="A62" s="18" t="n"/>
      <c r="B62" s="18" t="n"/>
      <c r="C62" s="18" t="n"/>
      <c r="D62" s="45" t="n"/>
      <c r="E62" s="45" t="n"/>
      <c r="F62" s="28">
        <f>IF(AND(D62&lt;&gt;"",E62&lt;&gt;""),E62-D62,IF(D62&lt;&gt;"",TODAY()-D62,""))</f>
        <v/>
      </c>
      <c r="G62" s="28" t="n"/>
      <c r="H62" s="18" t="n"/>
    </row>
    <row r="63">
      <c r="A63" s="18" t="n"/>
      <c r="B63" s="18" t="n"/>
      <c r="C63" s="18" t="n"/>
      <c r="D63" s="45" t="n"/>
      <c r="E63" s="45" t="n"/>
      <c r="F63" s="28">
        <f>IF(AND(D63&lt;&gt;"",E63&lt;&gt;""),E63-D63,IF(D63&lt;&gt;"",TODAY()-D63,""))</f>
        <v/>
      </c>
      <c r="G63" s="28" t="n"/>
      <c r="H63" s="18" t="n"/>
    </row>
    <row r="64">
      <c r="A64" s="18" t="n"/>
      <c r="B64" s="18" t="n"/>
      <c r="C64" s="18" t="n"/>
      <c r="D64" s="45" t="n"/>
      <c r="E64" s="45" t="n"/>
      <c r="F64" s="28">
        <f>IF(AND(D64&lt;&gt;"",E64&lt;&gt;""),E64-D64,IF(D64&lt;&gt;"",TODAY()-D64,""))</f>
        <v/>
      </c>
      <c r="G64" s="28" t="n"/>
      <c r="H64" s="18" t="n"/>
    </row>
    <row r="65">
      <c r="A65" s="18" t="n"/>
      <c r="B65" s="18" t="n"/>
      <c r="C65" s="18" t="n"/>
      <c r="D65" s="45" t="n"/>
      <c r="E65" s="45" t="n"/>
      <c r="F65" s="28">
        <f>IF(AND(D65&lt;&gt;"",E65&lt;&gt;""),E65-D65,IF(D65&lt;&gt;"",TODAY()-D65,""))</f>
        <v/>
      </c>
      <c r="G65" s="28" t="n"/>
      <c r="H65" s="18" t="n"/>
    </row>
    <row r="66">
      <c r="A66" s="18" t="n"/>
      <c r="B66" s="18" t="n"/>
      <c r="C66" s="18" t="n"/>
      <c r="D66" s="45" t="n"/>
      <c r="E66" s="45" t="n"/>
      <c r="F66" s="28">
        <f>IF(AND(D66&lt;&gt;"",E66&lt;&gt;""),E66-D66,IF(D66&lt;&gt;"",TODAY()-D66,""))</f>
        <v/>
      </c>
      <c r="G66" s="28" t="n"/>
      <c r="H66" s="18" t="n"/>
    </row>
    <row r="67">
      <c r="A67" s="18" t="n"/>
      <c r="B67" s="18" t="n"/>
      <c r="C67" s="18" t="n"/>
      <c r="D67" s="45" t="n"/>
      <c r="E67" s="45" t="n"/>
      <c r="F67" s="28">
        <f>IF(AND(D67&lt;&gt;"",E67&lt;&gt;""),E67-D67,IF(D67&lt;&gt;"",TODAY()-D67,""))</f>
        <v/>
      </c>
      <c r="G67" s="28" t="n"/>
      <c r="H67" s="18" t="n"/>
    </row>
    <row r="68">
      <c r="A68" s="18" t="n"/>
      <c r="B68" s="18" t="n"/>
      <c r="C68" s="18" t="n"/>
      <c r="D68" s="45" t="n"/>
      <c r="E68" s="45" t="n"/>
      <c r="F68" s="28">
        <f>IF(AND(D68&lt;&gt;"",E68&lt;&gt;""),E68-D68,IF(D68&lt;&gt;"",TODAY()-D68,""))</f>
        <v/>
      </c>
      <c r="G68" s="28" t="n"/>
      <c r="H68" s="18" t="n"/>
    </row>
    <row r="69">
      <c r="A69" s="18" t="n"/>
      <c r="B69" s="18" t="n"/>
      <c r="C69" s="18" t="n"/>
      <c r="D69" s="45" t="n"/>
      <c r="E69" s="45" t="n"/>
      <c r="F69" s="28">
        <f>IF(AND(D69&lt;&gt;"",E69&lt;&gt;""),E69-D69,IF(D69&lt;&gt;"",TODAY()-D69,""))</f>
        <v/>
      </c>
      <c r="G69" s="28" t="n"/>
      <c r="H69" s="18" t="n"/>
    </row>
    <row r="70">
      <c r="A70" s="18" t="n"/>
      <c r="B70" s="18" t="n"/>
      <c r="C70" s="18" t="n"/>
      <c r="D70" s="45" t="n"/>
      <c r="E70" s="45" t="n"/>
      <c r="F70" s="28">
        <f>IF(AND(D70&lt;&gt;"",E70&lt;&gt;""),E70-D70,IF(D70&lt;&gt;"",TODAY()-D70,""))</f>
        <v/>
      </c>
      <c r="G70" s="28" t="n"/>
      <c r="H70" s="18" t="n"/>
    </row>
    <row r="71">
      <c r="A71" s="18" t="n"/>
      <c r="B71" s="18" t="n"/>
      <c r="C71" s="18" t="n"/>
      <c r="D71" s="45" t="n"/>
      <c r="E71" s="45" t="n"/>
      <c r="F71" s="28">
        <f>IF(AND(D71&lt;&gt;"",E71&lt;&gt;""),E71-D71,IF(D71&lt;&gt;"",TODAY()-D71,""))</f>
        <v/>
      </c>
      <c r="G71" s="28" t="n"/>
      <c r="H71" s="18" t="n"/>
    </row>
    <row r="72">
      <c r="A72" s="18" t="n"/>
      <c r="B72" s="18" t="n"/>
      <c r="C72" s="18" t="n"/>
      <c r="D72" s="45" t="n"/>
      <c r="E72" s="45" t="n"/>
      <c r="F72" s="28">
        <f>IF(AND(D72&lt;&gt;"",E72&lt;&gt;""),E72-D72,IF(D72&lt;&gt;"",TODAY()-D72,""))</f>
        <v/>
      </c>
      <c r="G72" s="28" t="n"/>
      <c r="H72" s="18" t="n"/>
    </row>
    <row r="73">
      <c r="A73" s="18" t="n"/>
      <c r="B73" s="18" t="n"/>
      <c r="C73" s="18" t="n"/>
      <c r="D73" s="45" t="n"/>
      <c r="E73" s="45" t="n"/>
      <c r="F73" s="28">
        <f>IF(AND(D73&lt;&gt;"",E73&lt;&gt;""),E73-D73,IF(D73&lt;&gt;"",TODAY()-D73,""))</f>
        <v/>
      </c>
      <c r="G73" s="28" t="n"/>
      <c r="H73" s="18" t="n"/>
    </row>
    <row r="74">
      <c r="A74" s="18" t="n"/>
      <c r="B74" s="18" t="n"/>
      <c r="C74" s="18" t="n"/>
      <c r="D74" s="45" t="n"/>
      <c r="E74" s="45" t="n"/>
      <c r="F74" s="28">
        <f>IF(AND(D74&lt;&gt;"",E74&lt;&gt;""),E74-D74,IF(D74&lt;&gt;"",TODAY()-D74,""))</f>
        <v/>
      </c>
      <c r="G74" s="28" t="n"/>
      <c r="H74" s="18" t="n"/>
    </row>
    <row r="75">
      <c r="A75" s="18" t="n"/>
      <c r="B75" s="18" t="n"/>
      <c r="C75" s="18" t="n"/>
      <c r="D75" s="45" t="n"/>
      <c r="E75" s="45" t="n"/>
      <c r="F75" s="28">
        <f>IF(AND(D75&lt;&gt;"",E75&lt;&gt;""),E75-D75,IF(D75&lt;&gt;"",TODAY()-D75,""))</f>
        <v/>
      </c>
      <c r="G75" s="28" t="n"/>
      <c r="H75" s="18" t="n"/>
    </row>
    <row r="76">
      <c r="A76" s="18" t="n"/>
      <c r="B76" s="18" t="n"/>
      <c r="C76" s="18" t="n"/>
      <c r="D76" s="45" t="n"/>
      <c r="E76" s="45" t="n"/>
      <c r="F76" s="28">
        <f>IF(AND(D76&lt;&gt;"",E76&lt;&gt;""),E76-D76,IF(D76&lt;&gt;"",TODAY()-D76,""))</f>
        <v/>
      </c>
      <c r="G76" s="28" t="n"/>
      <c r="H76" s="18" t="n"/>
    </row>
    <row r="77">
      <c r="A77" s="18" t="n"/>
      <c r="B77" s="18" t="n"/>
      <c r="C77" s="18" t="n"/>
      <c r="D77" s="45" t="n"/>
      <c r="E77" s="45" t="n"/>
      <c r="F77" s="28">
        <f>IF(AND(D77&lt;&gt;"",E77&lt;&gt;""),E77-D77,IF(D77&lt;&gt;"",TODAY()-D77,""))</f>
        <v/>
      </c>
      <c r="G77" s="28" t="n"/>
      <c r="H77" s="18" t="n"/>
    </row>
    <row r="78">
      <c r="A78" s="18" t="n"/>
      <c r="B78" s="18" t="n"/>
      <c r="C78" s="18" t="n"/>
      <c r="D78" s="45" t="n"/>
      <c r="E78" s="45" t="n"/>
      <c r="F78" s="28">
        <f>IF(AND(D78&lt;&gt;"",E78&lt;&gt;""),E78-D78,IF(D78&lt;&gt;"",TODAY()-D78,""))</f>
        <v/>
      </c>
      <c r="G78" s="28" t="n"/>
      <c r="H78" s="18" t="n"/>
    </row>
    <row r="79">
      <c r="A79" s="18" t="n"/>
      <c r="B79" s="18" t="n"/>
      <c r="C79" s="18" t="n"/>
      <c r="D79" s="45" t="n"/>
      <c r="E79" s="45" t="n"/>
      <c r="F79" s="28">
        <f>IF(AND(D79&lt;&gt;"",E79&lt;&gt;""),E79-D79,IF(D79&lt;&gt;"",TODAY()-D79,""))</f>
        <v/>
      </c>
      <c r="G79" s="28" t="n"/>
      <c r="H79" s="18" t="n"/>
    </row>
    <row r="80">
      <c r="A80" s="18" t="n"/>
      <c r="B80" s="18" t="n"/>
      <c r="C80" s="18" t="n"/>
      <c r="D80" s="45" t="n"/>
      <c r="E80" s="45" t="n"/>
      <c r="F80" s="28">
        <f>IF(AND(D80&lt;&gt;"",E80&lt;&gt;""),E80-D80,IF(D80&lt;&gt;"",TODAY()-D80,""))</f>
        <v/>
      </c>
      <c r="G80" s="28" t="n"/>
      <c r="H80" s="18" t="n"/>
    </row>
    <row r="81">
      <c r="A81" s="18" t="n"/>
      <c r="B81" s="18" t="n"/>
      <c r="C81" s="18" t="n"/>
      <c r="D81" s="45" t="n"/>
      <c r="E81" s="45" t="n"/>
      <c r="F81" s="28">
        <f>IF(AND(D81&lt;&gt;"",E81&lt;&gt;""),E81-D81,IF(D81&lt;&gt;"",TODAY()-D81,""))</f>
        <v/>
      </c>
      <c r="G81" s="28" t="n"/>
      <c r="H81" s="18" t="n"/>
    </row>
    <row r="82">
      <c r="A82" s="18" t="n"/>
      <c r="B82" s="18" t="n"/>
      <c r="C82" s="18" t="n"/>
      <c r="D82" s="45" t="n"/>
      <c r="E82" s="45" t="n"/>
      <c r="F82" s="28">
        <f>IF(AND(D82&lt;&gt;"",E82&lt;&gt;""),E82-D82,IF(D82&lt;&gt;"",TODAY()-D82,""))</f>
        <v/>
      </c>
      <c r="G82" s="28" t="n"/>
      <c r="H82" s="18" t="n"/>
    </row>
    <row r="83">
      <c r="A83" s="18" t="n"/>
      <c r="B83" s="18" t="n"/>
      <c r="C83" s="18" t="n"/>
      <c r="D83" s="45" t="n"/>
      <c r="E83" s="45" t="n"/>
      <c r="F83" s="28">
        <f>IF(AND(D83&lt;&gt;"",E83&lt;&gt;""),E83-D83,IF(D83&lt;&gt;"",TODAY()-D83,""))</f>
        <v/>
      </c>
      <c r="G83" s="28" t="n"/>
      <c r="H83" s="18" t="n"/>
    </row>
    <row r="84">
      <c r="A84" s="18" t="n"/>
      <c r="B84" s="18" t="n"/>
      <c r="C84" s="18" t="n"/>
      <c r="D84" s="45" t="n"/>
      <c r="E84" s="45" t="n"/>
      <c r="F84" s="28">
        <f>IF(AND(D84&lt;&gt;"",E84&lt;&gt;""),E84-D84,IF(D84&lt;&gt;"",TODAY()-D84,""))</f>
        <v/>
      </c>
      <c r="G84" s="28" t="n"/>
      <c r="H84" s="18" t="n"/>
    </row>
    <row r="85">
      <c r="A85" s="18" t="n"/>
      <c r="B85" s="18" t="n"/>
      <c r="C85" s="18" t="n"/>
      <c r="D85" s="45" t="n"/>
      <c r="E85" s="45" t="n"/>
      <c r="F85" s="28">
        <f>IF(AND(D85&lt;&gt;"",E85&lt;&gt;""),E85-D85,IF(D85&lt;&gt;"",TODAY()-D85,""))</f>
        <v/>
      </c>
      <c r="G85" s="28" t="n"/>
      <c r="H85" s="18" t="n"/>
    </row>
    <row r="86">
      <c r="A86" s="18" t="n"/>
      <c r="B86" s="18" t="n"/>
      <c r="C86" s="18" t="n"/>
      <c r="D86" s="45" t="n"/>
      <c r="E86" s="45" t="n"/>
      <c r="F86" s="28">
        <f>IF(AND(D86&lt;&gt;"",E86&lt;&gt;""),E86-D86,IF(D86&lt;&gt;"",TODAY()-D86,""))</f>
        <v/>
      </c>
      <c r="G86" s="28" t="n"/>
      <c r="H86" s="18" t="n"/>
    </row>
    <row r="87">
      <c r="A87" s="18" t="n"/>
      <c r="B87" s="18" t="n"/>
      <c r="C87" s="18" t="n"/>
      <c r="D87" s="45" t="n"/>
      <c r="E87" s="45" t="n"/>
      <c r="F87" s="28">
        <f>IF(AND(D87&lt;&gt;"",E87&lt;&gt;""),E87-D87,IF(D87&lt;&gt;"",TODAY()-D87,""))</f>
        <v/>
      </c>
      <c r="G87" s="28" t="n"/>
      <c r="H87" s="18" t="n"/>
    </row>
    <row r="88">
      <c r="A88" s="18" t="n"/>
      <c r="B88" s="18" t="n"/>
      <c r="C88" s="18" t="n"/>
      <c r="D88" s="45" t="n"/>
      <c r="E88" s="45" t="n"/>
      <c r="F88" s="28">
        <f>IF(AND(D88&lt;&gt;"",E88&lt;&gt;""),E88-D88,IF(D88&lt;&gt;"",TODAY()-D88,""))</f>
        <v/>
      </c>
      <c r="G88" s="28" t="n"/>
      <c r="H88" s="18" t="n"/>
    </row>
    <row r="89">
      <c r="A89" s="18" t="n"/>
      <c r="B89" s="18" t="n"/>
      <c r="C89" s="18" t="n"/>
      <c r="D89" s="45" t="n"/>
      <c r="E89" s="45" t="n"/>
      <c r="F89" s="28">
        <f>IF(AND(D89&lt;&gt;"",E89&lt;&gt;""),E89-D89,IF(D89&lt;&gt;"",TODAY()-D89,""))</f>
        <v/>
      </c>
      <c r="G89" s="28" t="n"/>
      <c r="H89" s="18" t="n"/>
    </row>
    <row r="90">
      <c r="A90" s="18" t="n"/>
      <c r="B90" s="18" t="n"/>
      <c r="C90" s="18" t="n"/>
      <c r="D90" s="45" t="n"/>
      <c r="E90" s="45" t="n"/>
      <c r="F90" s="28">
        <f>IF(AND(D90&lt;&gt;"",E90&lt;&gt;""),E90-D90,IF(D90&lt;&gt;"",TODAY()-D90,""))</f>
        <v/>
      </c>
      <c r="G90" s="28" t="n"/>
      <c r="H90" s="18" t="n"/>
    </row>
    <row r="91">
      <c r="A91" s="18" t="n"/>
      <c r="B91" s="18" t="n"/>
      <c r="C91" s="18" t="n"/>
      <c r="D91" s="45" t="n"/>
      <c r="E91" s="45" t="n"/>
      <c r="F91" s="28">
        <f>IF(AND(D91&lt;&gt;"",E91&lt;&gt;""),E91-D91,IF(D91&lt;&gt;"",TODAY()-D91,""))</f>
        <v/>
      </c>
      <c r="G91" s="28" t="n"/>
      <c r="H91" s="18" t="n"/>
    </row>
    <row r="92">
      <c r="A92" s="18" t="n"/>
      <c r="B92" s="18" t="n"/>
      <c r="C92" s="18" t="n"/>
      <c r="D92" s="45" t="n"/>
      <c r="E92" s="45" t="n"/>
      <c r="F92" s="28">
        <f>IF(AND(D92&lt;&gt;"",E92&lt;&gt;""),E92-D92,IF(D92&lt;&gt;"",TODAY()-D92,""))</f>
        <v/>
      </c>
      <c r="G92" s="28" t="n"/>
      <c r="H92" s="18" t="n"/>
    </row>
    <row r="93">
      <c r="A93" s="18" t="n"/>
      <c r="B93" s="18" t="n"/>
      <c r="C93" s="18" t="n"/>
      <c r="D93" s="45" t="n"/>
      <c r="E93" s="45" t="n"/>
      <c r="F93" s="28">
        <f>IF(AND(D93&lt;&gt;"",E93&lt;&gt;""),E93-D93,IF(D93&lt;&gt;"",TODAY()-D93,""))</f>
        <v/>
      </c>
      <c r="G93" s="28" t="n"/>
      <c r="H93" s="18" t="n"/>
    </row>
    <row r="94">
      <c r="A94" s="18" t="n"/>
      <c r="B94" s="18" t="n"/>
      <c r="C94" s="18" t="n"/>
      <c r="D94" s="45" t="n"/>
      <c r="E94" s="45" t="n"/>
      <c r="F94" s="28">
        <f>IF(AND(D94&lt;&gt;"",E94&lt;&gt;""),E94-D94,IF(D94&lt;&gt;"",TODAY()-D94,""))</f>
        <v/>
      </c>
      <c r="G94" s="28" t="n"/>
      <c r="H94" s="18" t="n"/>
    </row>
    <row r="95">
      <c r="A95" s="18" t="n"/>
      <c r="B95" s="18" t="n"/>
      <c r="C95" s="18" t="n"/>
      <c r="D95" s="45" t="n"/>
      <c r="E95" s="45" t="n"/>
      <c r="F95" s="28">
        <f>IF(AND(D95&lt;&gt;"",E95&lt;&gt;""),E95-D95,IF(D95&lt;&gt;"",TODAY()-D95,""))</f>
        <v/>
      </c>
      <c r="G95" s="28" t="n"/>
      <c r="H95" s="18" t="n"/>
    </row>
    <row r="96">
      <c r="A96" s="18" t="n"/>
      <c r="B96" s="18" t="n"/>
      <c r="C96" s="18" t="n"/>
      <c r="D96" s="45" t="n"/>
      <c r="E96" s="45" t="n"/>
      <c r="F96" s="28">
        <f>IF(AND(D96&lt;&gt;"",E96&lt;&gt;""),E96-D96,IF(D96&lt;&gt;"",TODAY()-D96,""))</f>
        <v/>
      </c>
      <c r="G96" s="28" t="n"/>
      <c r="H96" s="18" t="n"/>
    </row>
    <row r="97">
      <c r="A97" s="18" t="n"/>
      <c r="B97" s="18" t="n"/>
      <c r="C97" s="18" t="n"/>
      <c r="D97" s="45" t="n"/>
      <c r="E97" s="45" t="n"/>
      <c r="F97" s="28">
        <f>IF(AND(D97&lt;&gt;"",E97&lt;&gt;""),E97-D97,IF(D97&lt;&gt;"",TODAY()-D97,""))</f>
        <v/>
      </c>
      <c r="G97" s="28" t="n"/>
      <c r="H97" s="18" t="n"/>
    </row>
    <row r="98">
      <c r="A98" s="18" t="n"/>
      <c r="B98" s="18" t="n"/>
      <c r="C98" s="18" t="n"/>
      <c r="D98" s="45" t="n"/>
      <c r="E98" s="45" t="n"/>
      <c r="F98" s="28">
        <f>IF(AND(D98&lt;&gt;"",E98&lt;&gt;""),E98-D98,IF(D98&lt;&gt;"",TODAY()-D98,""))</f>
        <v/>
      </c>
      <c r="G98" s="28" t="n"/>
      <c r="H98" s="18" t="n"/>
    </row>
    <row r="99">
      <c r="A99" s="18" t="n"/>
      <c r="B99" s="18" t="n"/>
      <c r="C99" s="18" t="n"/>
      <c r="D99" s="45" t="n"/>
      <c r="E99" s="45" t="n"/>
      <c r="F99" s="28">
        <f>IF(AND(D99&lt;&gt;"",E99&lt;&gt;""),E99-D99,IF(D99&lt;&gt;"",TODAY()-D99,""))</f>
        <v/>
      </c>
      <c r="G99" s="28" t="n"/>
      <c r="H99" s="18" t="n"/>
    </row>
    <row r="100">
      <c r="A100" s="18" t="n"/>
      <c r="B100" s="18" t="n"/>
      <c r="C100" s="18" t="n"/>
      <c r="D100" s="45" t="n"/>
      <c r="E100" s="45" t="n"/>
      <c r="F100" s="28">
        <f>IF(AND(D100&lt;&gt;"",E100&lt;&gt;""),E100-D100,IF(D100&lt;&gt;"",TODAY()-D100,""))</f>
        <v/>
      </c>
      <c r="G100" s="28" t="n"/>
      <c r="H100" s="18" t="n"/>
    </row>
    <row r="101">
      <c r="A101" s="18" t="n"/>
      <c r="B101" s="18" t="n"/>
      <c r="C101" s="18" t="n"/>
      <c r="D101" s="45" t="n"/>
      <c r="E101" s="45" t="n"/>
      <c r="F101" s="28">
        <f>IF(AND(D101&lt;&gt;"",E101&lt;&gt;""),E101-D101,IF(D101&lt;&gt;"",TODAY()-D101,""))</f>
        <v/>
      </c>
      <c r="G101" s="28" t="n"/>
      <c r="H101" s="18" t="n"/>
    </row>
    <row r="102">
      <c r="A102" s="18" t="n"/>
      <c r="B102" s="18" t="n"/>
      <c r="C102" s="18" t="n"/>
      <c r="D102" s="45" t="n"/>
      <c r="E102" s="45" t="n"/>
      <c r="F102" s="28">
        <f>IF(AND(D102&lt;&gt;"",E102&lt;&gt;""),E102-D102,IF(D102&lt;&gt;"",TODAY()-D102,""))</f>
        <v/>
      </c>
      <c r="G102" s="28" t="n"/>
      <c r="H102" s="18" t="n"/>
    </row>
    <row r="103">
      <c r="A103" s="18" t="n"/>
      <c r="B103" s="18" t="n"/>
      <c r="C103" s="18" t="n"/>
      <c r="D103" s="45" t="n"/>
      <c r="E103" s="45" t="n"/>
      <c r="F103" s="28">
        <f>IF(AND(D103&lt;&gt;"",E103&lt;&gt;""),E103-D103,IF(D103&lt;&gt;"",TODAY()-D103,""))</f>
        <v/>
      </c>
      <c r="G103" s="28" t="n"/>
      <c r="H103" s="18" t="n"/>
    </row>
    <row r="104">
      <c r="A104" s="18" t="n"/>
      <c r="B104" s="18" t="n"/>
      <c r="C104" s="18" t="n"/>
      <c r="D104" s="45" t="n"/>
      <c r="E104" s="45" t="n"/>
      <c r="F104" s="28">
        <f>IF(AND(D104&lt;&gt;"",E104&lt;&gt;""),E104-D104,IF(D104&lt;&gt;"",TODAY()-D104,""))</f>
        <v/>
      </c>
      <c r="G104" s="28" t="n"/>
      <c r="H104" s="18" t="n"/>
    </row>
    <row r="105">
      <c r="A105" s="18" t="n"/>
      <c r="B105" s="18" t="n"/>
      <c r="C105" s="18" t="n"/>
      <c r="D105" s="45" t="n"/>
      <c r="E105" s="45" t="n"/>
      <c r="F105" s="28">
        <f>IF(AND(D105&lt;&gt;"",E105&lt;&gt;""),E105-D105,IF(D105&lt;&gt;"",TODAY()-D105,""))</f>
        <v/>
      </c>
      <c r="G105" s="28" t="n"/>
      <c r="H105" s="18" t="n"/>
    </row>
    <row r="106">
      <c r="A106" s="18" t="n"/>
      <c r="B106" s="18" t="n"/>
      <c r="C106" s="18" t="n"/>
      <c r="D106" s="45" t="n"/>
      <c r="E106" s="45" t="n"/>
      <c r="F106" s="28">
        <f>IF(AND(D106&lt;&gt;"",E106&lt;&gt;""),E106-D106,IF(D106&lt;&gt;"",TODAY()-D106,""))</f>
        <v/>
      </c>
      <c r="G106" s="28" t="n"/>
      <c r="H106" s="18" t="n"/>
    </row>
    <row r="107">
      <c r="A107" s="18" t="n"/>
      <c r="B107" s="18" t="n"/>
      <c r="C107" s="18" t="n"/>
      <c r="D107" s="45" t="n"/>
      <c r="E107" s="45" t="n"/>
      <c r="F107" s="28">
        <f>IF(AND(D107&lt;&gt;"",E107&lt;&gt;""),E107-D107,IF(D107&lt;&gt;"",TODAY()-D107,""))</f>
        <v/>
      </c>
      <c r="G107" s="28" t="n"/>
      <c r="H107" s="18" t="n"/>
    </row>
    <row r="108">
      <c r="A108" s="18" t="n"/>
      <c r="B108" s="18" t="n"/>
      <c r="C108" s="18" t="n"/>
      <c r="D108" s="45" t="n"/>
      <c r="E108" s="45" t="n"/>
      <c r="F108" s="28">
        <f>IF(AND(D108&lt;&gt;"",E108&lt;&gt;""),E108-D108,IF(D108&lt;&gt;"",TODAY()-D108,""))</f>
        <v/>
      </c>
      <c r="G108" s="28" t="n"/>
      <c r="H108" s="18" t="n"/>
    </row>
  </sheetData>
  <mergeCells count="1">
    <mergeCell ref="A1:H1"/>
  </mergeCells>
  <conditionalFormatting sqref="F9:F108">
    <cfRule type="expression" priority="1" dxfId="0">
      <formula>AND($G9&lt;&gt;"Complete",$F9&gt;14)</formula>
    </cfRule>
  </conditionalFormatting>
  <dataValidations count="1">
    <dataValidation sqref="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showDropDown="0" showInputMessage="0" showErrorMessage="0" allowBlank="0" type="list">
      <formula1>"Open,In Process,Complete,Cancelled"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15" customWidth="1" min="1" max="1"/>
    <col width="30" customWidth="1" min="2" max="2"/>
    <col width="8" customWidth="1" min="3" max="3"/>
    <col width="10" customWidth="1" min="4" max="4"/>
    <col width="10" customWidth="1" min="5" max="5"/>
    <col width="10" customWidth="1" min="6" max="6"/>
    <col width="12" customWidth="1" min="7" max="7"/>
    <col width="12" customWidth="1" min="8" max="8"/>
    <col width="20" customWidth="1" min="9" max="9"/>
  </cols>
  <sheetData>
    <row r="1" ht="28" customHeight="1">
      <c r="A1" s="40" t="inlineStr">
        <is>
          <t>INFOR XA / MAPICS DATA IMPORT</t>
        </is>
      </c>
    </row>
    <row r="3">
      <c r="A3" s="12" t="inlineStr">
        <is>
          <t>HOW TO UPDATE: Copy data from Infor XA Power Inquiry → Paste below → Data refreshes Parts Master</t>
        </is>
      </c>
    </row>
    <row r="4">
      <c r="A4" s="46" t="inlineStr">
        <is>
          <t>No direct database connection = No IT security concerns. Manual paste is safe and controlled.</t>
        </is>
      </c>
    </row>
    <row r="6">
      <c r="A6" s="4" t="inlineStr">
        <is>
          <t>Last Updated:</t>
        </is>
      </c>
      <c r="B6" s="47" t="inlineStr"/>
      <c r="C6" t="inlineStr">
        <is>
          <t>Updated By:</t>
        </is>
      </c>
      <c r="D6" s="14" t="inlineStr"/>
      <c r="E6" t="inlineStr">
        <is>
          <t>Version:</t>
        </is>
      </c>
      <c r="F6" s="14" t="inlineStr"/>
    </row>
    <row r="8">
      <c r="A8" s="17" t="inlineStr">
        <is>
          <t>Item #</t>
        </is>
      </c>
      <c r="B8" s="17" t="inlineStr">
        <is>
          <t>Description</t>
        </is>
      </c>
      <c r="C8" s="17" t="inlineStr">
        <is>
          <t>U/M</t>
        </is>
      </c>
      <c r="D8" s="17" t="inlineStr">
        <is>
          <t>On Hand</t>
        </is>
      </c>
      <c r="E8" s="17" t="inlineStr">
        <is>
          <t>Allocated</t>
        </is>
      </c>
      <c r="F8" s="17" t="inlineStr">
        <is>
          <t>Available</t>
        </is>
      </c>
      <c r="G8" s="17" t="inlineStr">
        <is>
          <t>Last Cost</t>
        </is>
      </c>
      <c r="H8" s="17" t="inlineStr">
        <is>
          <t>List Price</t>
        </is>
      </c>
      <c r="I8" s="17" t="inlineStr">
        <is>
          <t>Location</t>
        </is>
      </c>
    </row>
    <row r="9">
      <c r="A9" s="18" t="n"/>
      <c r="B9" s="18" t="n"/>
      <c r="C9" s="18" t="n"/>
      <c r="D9" s="28" t="n"/>
      <c r="E9" s="28" t="n"/>
      <c r="F9" s="28" t="n"/>
      <c r="G9" s="19" t="n"/>
      <c r="H9" s="19" t="n"/>
      <c r="I9" s="18" t="n"/>
    </row>
    <row r="10">
      <c r="A10" s="18" t="n"/>
      <c r="B10" s="18" t="n"/>
      <c r="C10" s="18" t="n"/>
      <c r="D10" s="28" t="n"/>
      <c r="E10" s="28" t="n"/>
      <c r="F10" s="28" t="n"/>
      <c r="G10" s="19" t="n"/>
      <c r="H10" s="19" t="n"/>
      <c r="I10" s="18" t="n"/>
    </row>
    <row r="11">
      <c r="A11" s="18" t="n"/>
      <c r="B11" s="18" t="n"/>
      <c r="C11" s="18" t="n"/>
      <c r="D11" s="28" t="n"/>
      <c r="E11" s="28" t="n"/>
      <c r="F11" s="28" t="n"/>
      <c r="G11" s="19" t="n"/>
      <c r="H11" s="19" t="n"/>
      <c r="I11" s="18" t="n"/>
    </row>
    <row r="12">
      <c r="A12" s="18" t="n"/>
      <c r="B12" s="18" t="n"/>
      <c r="C12" s="18" t="n"/>
      <c r="D12" s="28" t="n"/>
      <c r="E12" s="28" t="n"/>
      <c r="F12" s="28" t="n"/>
      <c r="G12" s="19" t="n"/>
      <c r="H12" s="19" t="n"/>
      <c r="I12" s="18" t="n"/>
    </row>
    <row r="13">
      <c r="A13" s="18" t="n"/>
      <c r="B13" s="18" t="n"/>
      <c r="C13" s="18" t="n"/>
      <c r="D13" s="28" t="n"/>
      <c r="E13" s="28" t="n"/>
      <c r="F13" s="28" t="n"/>
      <c r="G13" s="19" t="n"/>
      <c r="H13" s="19" t="n"/>
      <c r="I13" s="18" t="n"/>
    </row>
    <row r="14">
      <c r="A14" s="18" t="n"/>
      <c r="B14" s="18" t="n"/>
      <c r="C14" s="18" t="n"/>
      <c r="D14" s="28" t="n"/>
      <c r="E14" s="28" t="n"/>
      <c r="F14" s="28" t="n"/>
      <c r="G14" s="19" t="n"/>
      <c r="H14" s="19" t="n"/>
      <c r="I14" s="18" t="n"/>
    </row>
    <row r="15">
      <c r="A15" s="18" t="n"/>
      <c r="B15" s="18" t="n"/>
      <c r="C15" s="18" t="n"/>
      <c r="D15" s="28" t="n"/>
      <c r="E15" s="28" t="n"/>
      <c r="F15" s="28" t="n"/>
      <c r="G15" s="19" t="n"/>
      <c r="H15" s="19" t="n"/>
      <c r="I15" s="18" t="n"/>
    </row>
    <row r="16">
      <c r="A16" s="18" t="n"/>
      <c r="B16" s="18" t="n"/>
      <c r="C16" s="18" t="n"/>
      <c r="D16" s="28" t="n"/>
      <c r="E16" s="28" t="n"/>
      <c r="F16" s="28" t="n"/>
      <c r="G16" s="19" t="n"/>
      <c r="H16" s="19" t="n"/>
      <c r="I16" s="18" t="n"/>
    </row>
    <row r="17">
      <c r="A17" s="18" t="n"/>
      <c r="B17" s="18" t="n"/>
      <c r="C17" s="18" t="n"/>
      <c r="D17" s="28" t="n"/>
      <c r="E17" s="28" t="n"/>
      <c r="F17" s="28" t="n"/>
      <c r="G17" s="19" t="n"/>
      <c r="H17" s="19" t="n"/>
      <c r="I17" s="18" t="n"/>
    </row>
    <row r="18">
      <c r="A18" s="18" t="n"/>
      <c r="B18" s="18" t="n"/>
      <c r="C18" s="18" t="n"/>
      <c r="D18" s="28" t="n"/>
      <c r="E18" s="28" t="n"/>
      <c r="F18" s="28" t="n"/>
      <c r="G18" s="19" t="n"/>
      <c r="H18" s="19" t="n"/>
      <c r="I18" s="18" t="n"/>
    </row>
    <row r="19">
      <c r="A19" s="18" t="n"/>
      <c r="B19" s="18" t="n"/>
      <c r="C19" s="18" t="n"/>
      <c r="D19" s="28" t="n"/>
      <c r="E19" s="28" t="n"/>
      <c r="F19" s="28" t="n"/>
      <c r="G19" s="19" t="n"/>
      <c r="H19" s="19" t="n"/>
      <c r="I19" s="18" t="n"/>
    </row>
    <row r="20">
      <c r="A20" s="18" t="n"/>
      <c r="B20" s="18" t="n"/>
      <c r="C20" s="18" t="n"/>
      <c r="D20" s="28" t="n"/>
      <c r="E20" s="28" t="n"/>
      <c r="F20" s="28" t="n"/>
      <c r="G20" s="19" t="n"/>
      <c r="H20" s="19" t="n"/>
      <c r="I20" s="18" t="n"/>
    </row>
    <row r="21">
      <c r="A21" s="18" t="n"/>
      <c r="B21" s="18" t="n"/>
      <c r="C21" s="18" t="n"/>
      <c r="D21" s="28" t="n"/>
      <c r="E21" s="28" t="n"/>
      <c r="F21" s="28" t="n"/>
      <c r="G21" s="19" t="n"/>
      <c r="H21" s="19" t="n"/>
      <c r="I21" s="18" t="n"/>
    </row>
    <row r="22">
      <c r="A22" s="18" t="n"/>
      <c r="B22" s="18" t="n"/>
      <c r="C22" s="18" t="n"/>
      <c r="D22" s="28" t="n"/>
      <c r="E22" s="28" t="n"/>
      <c r="F22" s="28" t="n"/>
      <c r="G22" s="19" t="n"/>
      <c r="H22" s="19" t="n"/>
      <c r="I22" s="18" t="n"/>
    </row>
    <row r="23">
      <c r="A23" s="18" t="n"/>
      <c r="B23" s="18" t="n"/>
      <c r="C23" s="18" t="n"/>
      <c r="D23" s="28" t="n"/>
      <c r="E23" s="28" t="n"/>
      <c r="F23" s="28" t="n"/>
      <c r="G23" s="19" t="n"/>
      <c r="H23" s="19" t="n"/>
      <c r="I23" s="18" t="n"/>
    </row>
    <row r="24">
      <c r="A24" s="18" t="n"/>
      <c r="B24" s="18" t="n"/>
      <c r="C24" s="18" t="n"/>
      <c r="D24" s="28" t="n"/>
      <c r="E24" s="28" t="n"/>
      <c r="F24" s="28" t="n"/>
      <c r="G24" s="19" t="n"/>
      <c r="H24" s="19" t="n"/>
      <c r="I24" s="18" t="n"/>
    </row>
    <row r="25">
      <c r="A25" s="18" t="n"/>
      <c r="B25" s="18" t="n"/>
      <c r="C25" s="18" t="n"/>
      <c r="D25" s="28" t="n"/>
      <c r="E25" s="28" t="n"/>
      <c r="F25" s="28" t="n"/>
      <c r="G25" s="19" t="n"/>
      <c r="H25" s="19" t="n"/>
      <c r="I25" s="18" t="n"/>
    </row>
    <row r="26">
      <c r="A26" s="18" t="n"/>
      <c r="B26" s="18" t="n"/>
      <c r="C26" s="18" t="n"/>
      <c r="D26" s="28" t="n"/>
      <c r="E26" s="28" t="n"/>
      <c r="F26" s="28" t="n"/>
      <c r="G26" s="19" t="n"/>
      <c r="H26" s="19" t="n"/>
      <c r="I26" s="18" t="n"/>
    </row>
    <row r="27">
      <c r="A27" s="18" t="n"/>
      <c r="B27" s="18" t="n"/>
      <c r="C27" s="18" t="n"/>
      <c r="D27" s="28" t="n"/>
      <c r="E27" s="28" t="n"/>
      <c r="F27" s="28" t="n"/>
      <c r="G27" s="19" t="n"/>
      <c r="H27" s="19" t="n"/>
      <c r="I27" s="18" t="n"/>
    </row>
    <row r="28">
      <c r="A28" s="18" t="n"/>
      <c r="B28" s="18" t="n"/>
      <c r="C28" s="18" t="n"/>
      <c r="D28" s="28" t="n"/>
      <c r="E28" s="28" t="n"/>
      <c r="F28" s="28" t="n"/>
      <c r="G28" s="19" t="n"/>
      <c r="H28" s="19" t="n"/>
      <c r="I28" s="18" t="n"/>
    </row>
    <row r="29">
      <c r="A29" s="18" t="n"/>
      <c r="B29" s="18" t="n"/>
      <c r="C29" s="18" t="n"/>
      <c r="D29" s="28" t="n"/>
      <c r="E29" s="28" t="n"/>
      <c r="F29" s="28" t="n"/>
      <c r="G29" s="19" t="n"/>
      <c r="H29" s="19" t="n"/>
      <c r="I29" s="18" t="n"/>
    </row>
    <row r="30">
      <c r="A30" s="18" t="n"/>
      <c r="B30" s="18" t="n"/>
      <c r="C30" s="18" t="n"/>
      <c r="D30" s="28" t="n"/>
      <c r="E30" s="28" t="n"/>
      <c r="F30" s="28" t="n"/>
      <c r="G30" s="19" t="n"/>
      <c r="H30" s="19" t="n"/>
      <c r="I30" s="18" t="n"/>
    </row>
    <row r="31">
      <c r="A31" s="18" t="n"/>
      <c r="B31" s="18" t="n"/>
      <c r="C31" s="18" t="n"/>
      <c r="D31" s="28" t="n"/>
      <c r="E31" s="28" t="n"/>
      <c r="F31" s="28" t="n"/>
      <c r="G31" s="19" t="n"/>
      <c r="H31" s="19" t="n"/>
      <c r="I31" s="18" t="n"/>
    </row>
    <row r="32">
      <c r="A32" s="18" t="n"/>
      <c r="B32" s="18" t="n"/>
      <c r="C32" s="18" t="n"/>
      <c r="D32" s="28" t="n"/>
      <c r="E32" s="28" t="n"/>
      <c r="F32" s="28" t="n"/>
      <c r="G32" s="19" t="n"/>
      <c r="H32" s="19" t="n"/>
      <c r="I32" s="18" t="n"/>
    </row>
    <row r="33">
      <c r="A33" s="18" t="n"/>
      <c r="B33" s="18" t="n"/>
      <c r="C33" s="18" t="n"/>
      <c r="D33" s="28" t="n"/>
      <c r="E33" s="28" t="n"/>
      <c r="F33" s="28" t="n"/>
      <c r="G33" s="19" t="n"/>
      <c r="H33" s="19" t="n"/>
      <c r="I33" s="18" t="n"/>
    </row>
    <row r="34">
      <c r="A34" s="18" t="n"/>
      <c r="B34" s="18" t="n"/>
      <c r="C34" s="18" t="n"/>
      <c r="D34" s="28" t="n"/>
      <c r="E34" s="28" t="n"/>
      <c r="F34" s="28" t="n"/>
      <c r="G34" s="19" t="n"/>
      <c r="H34" s="19" t="n"/>
      <c r="I34" s="18" t="n"/>
    </row>
    <row r="35">
      <c r="A35" s="18" t="n"/>
      <c r="B35" s="18" t="n"/>
      <c r="C35" s="18" t="n"/>
      <c r="D35" s="28" t="n"/>
      <c r="E35" s="28" t="n"/>
      <c r="F35" s="28" t="n"/>
      <c r="G35" s="19" t="n"/>
      <c r="H35" s="19" t="n"/>
      <c r="I35" s="18" t="n"/>
    </row>
    <row r="36">
      <c r="A36" s="18" t="n"/>
      <c r="B36" s="18" t="n"/>
      <c r="C36" s="18" t="n"/>
      <c r="D36" s="28" t="n"/>
      <c r="E36" s="28" t="n"/>
      <c r="F36" s="28" t="n"/>
      <c r="G36" s="19" t="n"/>
      <c r="H36" s="19" t="n"/>
      <c r="I36" s="18" t="n"/>
    </row>
    <row r="37">
      <c r="A37" s="18" t="n"/>
      <c r="B37" s="18" t="n"/>
      <c r="C37" s="18" t="n"/>
      <c r="D37" s="28" t="n"/>
      <c r="E37" s="28" t="n"/>
      <c r="F37" s="28" t="n"/>
      <c r="G37" s="19" t="n"/>
      <c r="H37" s="19" t="n"/>
      <c r="I37" s="18" t="n"/>
    </row>
    <row r="38">
      <c r="A38" s="18" t="n"/>
      <c r="B38" s="18" t="n"/>
      <c r="C38" s="18" t="n"/>
      <c r="D38" s="28" t="n"/>
      <c r="E38" s="28" t="n"/>
      <c r="F38" s="28" t="n"/>
      <c r="G38" s="19" t="n"/>
      <c r="H38" s="19" t="n"/>
      <c r="I38" s="18" t="n"/>
    </row>
    <row r="39">
      <c r="A39" s="18" t="n"/>
      <c r="B39" s="18" t="n"/>
      <c r="C39" s="18" t="n"/>
      <c r="D39" s="28" t="n"/>
      <c r="E39" s="28" t="n"/>
      <c r="F39" s="28" t="n"/>
      <c r="G39" s="19" t="n"/>
      <c r="H39" s="19" t="n"/>
      <c r="I39" s="18" t="n"/>
    </row>
    <row r="40">
      <c r="A40" s="18" t="n"/>
      <c r="B40" s="18" t="n"/>
      <c r="C40" s="18" t="n"/>
      <c r="D40" s="28" t="n"/>
      <c r="E40" s="28" t="n"/>
      <c r="F40" s="28" t="n"/>
      <c r="G40" s="19" t="n"/>
      <c r="H40" s="19" t="n"/>
      <c r="I40" s="18" t="n"/>
    </row>
    <row r="41">
      <c r="A41" s="18" t="n"/>
      <c r="B41" s="18" t="n"/>
      <c r="C41" s="18" t="n"/>
      <c r="D41" s="28" t="n"/>
      <c r="E41" s="28" t="n"/>
      <c r="F41" s="28" t="n"/>
      <c r="G41" s="19" t="n"/>
      <c r="H41" s="19" t="n"/>
      <c r="I41" s="18" t="n"/>
    </row>
    <row r="42">
      <c r="A42" s="18" t="n"/>
      <c r="B42" s="18" t="n"/>
      <c r="C42" s="18" t="n"/>
      <c r="D42" s="28" t="n"/>
      <c r="E42" s="28" t="n"/>
      <c r="F42" s="28" t="n"/>
      <c r="G42" s="19" t="n"/>
      <c r="H42" s="19" t="n"/>
      <c r="I42" s="18" t="n"/>
    </row>
    <row r="43">
      <c r="A43" s="18" t="n"/>
      <c r="B43" s="18" t="n"/>
      <c r="C43" s="18" t="n"/>
      <c r="D43" s="28" t="n"/>
      <c r="E43" s="28" t="n"/>
      <c r="F43" s="28" t="n"/>
      <c r="G43" s="19" t="n"/>
      <c r="H43" s="19" t="n"/>
      <c r="I43" s="18" t="n"/>
    </row>
    <row r="44">
      <c r="A44" s="18" t="n"/>
      <c r="B44" s="18" t="n"/>
      <c r="C44" s="18" t="n"/>
      <c r="D44" s="28" t="n"/>
      <c r="E44" s="28" t="n"/>
      <c r="F44" s="28" t="n"/>
      <c r="G44" s="19" t="n"/>
      <c r="H44" s="19" t="n"/>
      <c r="I44" s="18" t="n"/>
    </row>
    <row r="45">
      <c r="A45" s="18" t="n"/>
      <c r="B45" s="18" t="n"/>
      <c r="C45" s="18" t="n"/>
      <c r="D45" s="28" t="n"/>
      <c r="E45" s="28" t="n"/>
      <c r="F45" s="28" t="n"/>
      <c r="G45" s="19" t="n"/>
      <c r="H45" s="19" t="n"/>
      <c r="I45" s="18" t="n"/>
    </row>
    <row r="46">
      <c r="A46" s="18" t="n"/>
      <c r="B46" s="18" t="n"/>
      <c r="C46" s="18" t="n"/>
      <c r="D46" s="28" t="n"/>
      <c r="E46" s="28" t="n"/>
      <c r="F46" s="28" t="n"/>
      <c r="G46" s="19" t="n"/>
      <c r="H46" s="19" t="n"/>
      <c r="I46" s="18" t="n"/>
    </row>
    <row r="47">
      <c r="A47" s="18" t="n"/>
      <c r="B47" s="18" t="n"/>
      <c r="C47" s="18" t="n"/>
      <c r="D47" s="28" t="n"/>
      <c r="E47" s="28" t="n"/>
      <c r="F47" s="28" t="n"/>
      <c r="G47" s="19" t="n"/>
      <c r="H47" s="19" t="n"/>
      <c r="I47" s="18" t="n"/>
    </row>
    <row r="48">
      <c r="A48" s="18" t="n"/>
      <c r="B48" s="18" t="n"/>
      <c r="C48" s="18" t="n"/>
      <c r="D48" s="28" t="n"/>
      <c r="E48" s="28" t="n"/>
      <c r="F48" s="28" t="n"/>
      <c r="G48" s="19" t="n"/>
      <c r="H48" s="19" t="n"/>
      <c r="I48" s="18" t="n"/>
    </row>
    <row r="49">
      <c r="A49" s="18" t="n"/>
      <c r="B49" s="18" t="n"/>
      <c r="C49" s="18" t="n"/>
      <c r="D49" s="28" t="n"/>
      <c r="E49" s="28" t="n"/>
      <c r="F49" s="28" t="n"/>
      <c r="G49" s="19" t="n"/>
      <c r="H49" s="19" t="n"/>
      <c r="I49" s="18" t="n"/>
    </row>
    <row r="50">
      <c r="A50" s="18" t="n"/>
      <c r="B50" s="18" t="n"/>
      <c r="C50" s="18" t="n"/>
      <c r="D50" s="28" t="n"/>
      <c r="E50" s="28" t="n"/>
      <c r="F50" s="28" t="n"/>
      <c r="G50" s="19" t="n"/>
      <c r="H50" s="19" t="n"/>
      <c r="I50" s="18" t="n"/>
    </row>
    <row r="51">
      <c r="A51" s="18" t="n"/>
      <c r="B51" s="18" t="n"/>
      <c r="C51" s="18" t="n"/>
      <c r="D51" s="28" t="n"/>
      <c r="E51" s="28" t="n"/>
      <c r="F51" s="28" t="n"/>
      <c r="G51" s="19" t="n"/>
      <c r="H51" s="19" t="n"/>
      <c r="I51" s="18" t="n"/>
    </row>
    <row r="52">
      <c r="A52" s="18" t="n"/>
      <c r="B52" s="18" t="n"/>
      <c r="C52" s="18" t="n"/>
      <c r="D52" s="28" t="n"/>
      <c r="E52" s="28" t="n"/>
      <c r="F52" s="28" t="n"/>
      <c r="G52" s="19" t="n"/>
      <c r="H52" s="19" t="n"/>
      <c r="I52" s="18" t="n"/>
    </row>
    <row r="53">
      <c r="A53" s="18" t="n"/>
      <c r="B53" s="18" t="n"/>
      <c r="C53" s="18" t="n"/>
      <c r="D53" s="28" t="n"/>
      <c r="E53" s="28" t="n"/>
      <c r="F53" s="28" t="n"/>
      <c r="G53" s="19" t="n"/>
      <c r="H53" s="19" t="n"/>
      <c r="I53" s="18" t="n"/>
    </row>
    <row r="54">
      <c r="A54" s="18" t="n"/>
      <c r="B54" s="18" t="n"/>
      <c r="C54" s="18" t="n"/>
      <c r="D54" s="28" t="n"/>
      <c r="E54" s="28" t="n"/>
      <c r="F54" s="28" t="n"/>
      <c r="G54" s="19" t="n"/>
      <c r="H54" s="19" t="n"/>
      <c r="I54" s="18" t="n"/>
    </row>
    <row r="55">
      <c r="A55" s="18" t="n"/>
      <c r="B55" s="18" t="n"/>
      <c r="C55" s="18" t="n"/>
      <c r="D55" s="28" t="n"/>
      <c r="E55" s="28" t="n"/>
      <c r="F55" s="28" t="n"/>
      <c r="G55" s="19" t="n"/>
      <c r="H55" s="19" t="n"/>
      <c r="I55" s="18" t="n"/>
    </row>
    <row r="56">
      <c r="A56" s="18" t="n"/>
      <c r="B56" s="18" t="n"/>
      <c r="C56" s="18" t="n"/>
      <c r="D56" s="28" t="n"/>
      <c r="E56" s="28" t="n"/>
      <c r="F56" s="28" t="n"/>
      <c r="G56" s="19" t="n"/>
      <c r="H56" s="19" t="n"/>
      <c r="I56" s="18" t="n"/>
    </row>
    <row r="57">
      <c r="A57" s="18" t="n"/>
      <c r="B57" s="18" t="n"/>
      <c r="C57" s="18" t="n"/>
      <c r="D57" s="28" t="n"/>
      <c r="E57" s="28" t="n"/>
      <c r="F57" s="28" t="n"/>
      <c r="G57" s="19" t="n"/>
      <c r="H57" s="19" t="n"/>
      <c r="I57" s="18" t="n"/>
    </row>
    <row r="58">
      <c r="A58" s="18" t="n"/>
      <c r="B58" s="18" t="n"/>
      <c r="C58" s="18" t="n"/>
      <c r="D58" s="28" t="n"/>
      <c r="E58" s="28" t="n"/>
      <c r="F58" s="28" t="n"/>
      <c r="G58" s="19" t="n"/>
      <c r="H58" s="19" t="n"/>
      <c r="I58" s="18" t="n"/>
    </row>
    <row r="59">
      <c r="A59" s="18" t="n"/>
      <c r="B59" s="18" t="n"/>
      <c r="C59" s="18" t="n"/>
      <c r="D59" s="28" t="n"/>
      <c r="E59" s="28" t="n"/>
      <c r="F59" s="28" t="n"/>
      <c r="G59" s="19" t="n"/>
      <c r="H59" s="19" t="n"/>
      <c r="I59" s="18" t="n"/>
    </row>
    <row r="60">
      <c r="A60" s="18" t="n"/>
      <c r="B60" s="18" t="n"/>
      <c r="C60" s="18" t="n"/>
      <c r="D60" s="28" t="n"/>
      <c r="E60" s="28" t="n"/>
      <c r="F60" s="28" t="n"/>
      <c r="G60" s="19" t="n"/>
      <c r="H60" s="19" t="n"/>
      <c r="I60" s="18" t="n"/>
    </row>
    <row r="61">
      <c r="A61" s="18" t="n"/>
      <c r="B61" s="18" t="n"/>
      <c r="C61" s="18" t="n"/>
      <c r="D61" s="28" t="n"/>
      <c r="E61" s="28" t="n"/>
      <c r="F61" s="28" t="n"/>
      <c r="G61" s="19" t="n"/>
      <c r="H61" s="19" t="n"/>
      <c r="I61" s="18" t="n"/>
    </row>
    <row r="62">
      <c r="A62" s="18" t="n"/>
      <c r="B62" s="18" t="n"/>
      <c r="C62" s="18" t="n"/>
      <c r="D62" s="28" t="n"/>
      <c r="E62" s="28" t="n"/>
      <c r="F62" s="28" t="n"/>
      <c r="G62" s="19" t="n"/>
      <c r="H62" s="19" t="n"/>
      <c r="I62" s="18" t="n"/>
    </row>
    <row r="63">
      <c r="A63" s="18" t="n"/>
      <c r="B63" s="18" t="n"/>
      <c r="C63" s="18" t="n"/>
      <c r="D63" s="28" t="n"/>
      <c r="E63" s="28" t="n"/>
      <c r="F63" s="28" t="n"/>
      <c r="G63" s="19" t="n"/>
      <c r="H63" s="19" t="n"/>
      <c r="I63" s="18" t="n"/>
    </row>
    <row r="64">
      <c r="A64" s="18" t="n"/>
      <c r="B64" s="18" t="n"/>
      <c r="C64" s="18" t="n"/>
      <c r="D64" s="28" t="n"/>
      <c r="E64" s="28" t="n"/>
      <c r="F64" s="28" t="n"/>
      <c r="G64" s="19" t="n"/>
      <c r="H64" s="19" t="n"/>
      <c r="I64" s="18" t="n"/>
    </row>
    <row r="65">
      <c r="A65" s="18" t="n"/>
      <c r="B65" s="18" t="n"/>
      <c r="C65" s="18" t="n"/>
      <c r="D65" s="28" t="n"/>
      <c r="E65" s="28" t="n"/>
      <c r="F65" s="28" t="n"/>
      <c r="G65" s="19" t="n"/>
      <c r="H65" s="19" t="n"/>
      <c r="I65" s="18" t="n"/>
    </row>
    <row r="66">
      <c r="A66" s="18" t="n"/>
      <c r="B66" s="18" t="n"/>
      <c r="C66" s="18" t="n"/>
      <c r="D66" s="28" t="n"/>
      <c r="E66" s="28" t="n"/>
      <c r="F66" s="28" t="n"/>
      <c r="G66" s="19" t="n"/>
      <c r="H66" s="19" t="n"/>
      <c r="I66" s="18" t="n"/>
    </row>
    <row r="67">
      <c r="A67" s="18" t="n"/>
      <c r="B67" s="18" t="n"/>
      <c r="C67" s="18" t="n"/>
      <c r="D67" s="28" t="n"/>
      <c r="E67" s="28" t="n"/>
      <c r="F67" s="28" t="n"/>
      <c r="G67" s="19" t="n"/>
      <c r="H67" s="19" t="n"/>
      <c r="I67" s="18" t="n"/>
    </row>
    <row r="68">
      <c r="A68" s="18" t="n"/>
      <c r="B68" s="18" t="n"/>
      <c r="C68" s="18" t="n"/>
      <c r="D68" s="28" t="n"/>
      <c r="E68" s="28" t="n"/>
      <c r="F68" s="28" t="n"/>
      <c r="G68" s="19" t="n"/>
      <c r="H68" s="19" t="n"/>
      <c r="I68" s="18" t="n"/>
    </row>
    <row r="69">
      <c r="A69" s="18" t="n"/>
      <c r="B69" s="18" t="n"/>
      <c r="C69" s="18" t="n"/>
      <c r="D69" s="28" t="n"/>
      <c r="E69" s="28" t="n"/>
      <c r="F69" s="28" t="n"/>
      <c r="G69" s="19" t="n"/>
      <c r="H69" s="19" t="n"/>
      <c r="I69" s="18" t="n"/>
    </row>
    <row r="70">
      <c r="A70" s="18" t="n"/>
      <c r="B70" s="18" t="n"/>
      <c r="C70" s="18" t="n"/>
      <c r="D70" s="28" t="n"/>
      <c r="E70" s="28" t="n"/>
      <c r="F70" s="28" t="n"/>
      <c r="G70" s="19" t="n"/>
      <c r="H70" s="19" t="n"/>
      <c r="I70" s="18" t="n"/>
    </row>
    <row r="71">
      <c r="A71" s="18" t="n"/>
      <c r="B71" s="18" t="n"/>
      <c r="C71" s="18" t="n"/>
      <c r="D71" s="28" t="n"/>
      <c r="E71" s="28" t="n"/>
      <c r="F71" s="28" t="n"/>
      <c r="G71" s="19" t="n"/>
      <c r="H71" s="19" t="n"/>
      <c r="I71" s="18" t="n"/>
    </row>
    <row r="72">
      <c r="A72" s="18" t="n"/>
      <c r="B72" s="18" t="n"/>
      <c r="C72" s="18" t="n"/>
      <c r="D72" s="28" t="n"/>
      <c r="E72" s="28" t="n"/>
      <c r="F72" s="28" t="n"/>
      <c r="G72" s="19" t="n"/>
      <c r="H72" s="19" t="n"/>
      <c r="I72" s="18" t="n"/>
    </row>
    <row r="73">
      <c r="A73" s="18" t="n"/>
      <c r="B73" s="18" t="n"/>
      <c r="C73" s="18" t="n"/>
      <c r="D73" s="28" t="n"/>
      <c r="E73" s="28" t="n"/>
      <c r="F73" s="28" t="n"/>
      <c r="G73" s="19" t="n"/>
      <c r="H73" s="19" t="n"/>
      <c r="I73" s="18" t="n"/>
    </row>
    <row r="74">
      <c r="A74" s="18" t="n"/>
      <c r="B74" s="18" t="n"/>
      <c r="C74" s="18" t="n"/>
      <c r="D74" s="28" t="n"/>
      <c r="E74" s="28" t="n"/>
      <c r="F74" s="28" t="n"/>
      <c r="G74" s="19" t="n"/>
      <c r="H74" s="19" t="n"/>
      <c r="I74" s="18" t="n"/>
    </row>
    <row r="75">
      <c r="A75" s="18" t="n"/>
      <c r="B75" s="18" t="n"/>
      <c r="C75" s="18" t="n"/>
      <c r="D75" s="28" t="n"/>
      <c r="E75" s="28" t="n"/>
      <c r="F75" s="28" t="n"/>
      <c r="G75" s="19" t="n"/>
      <c r="H75" s="19" t="n"/>
      <c r="I75" s="18" t="n"/>
    </row>
    <row r="76">
      <c r="A76" s="18" t="n"/>
      <c r="B76" s="18" t="n"/>
      <c r="C76" s="18" t="n"/>
      <c r="D76" s="28" t="n"/>
      <c r="E76" s="28" t="n"/>
      <c r="F76" s="28" t="n"/>
      <c r="G76" s="19" t="n"/>
      <c r="H76" s="19" t="n"/>
      <c r="I76" s="18" t="n"/>
    </row>
    <row r="77">
      <c r="A77" s="18" t="n"/>
      <c r="B77" s="18" t="n"/>
      <c r="C77" s="18" t="n"/>
      <c r="D77" s="28" t="n"/>
      <c r="E77" s="28" t="n"/>
      <c r="F77" s="28" t="n"/>
      <c r="G77" s="19" t="n"/>
      <c r="H77" s="19" t="n"/>
      <c r="I77" s="18" t="n"/>
    </row>
    <row r="78">
      <c r="A78" s="18" t="n"/>
      <c r="B78" s="18" t="n"/>
      <c r="C78" s="18" t="n"/>
      <c r="D78" s="28" t="n"/>
      <c r="E78" s="28" t="n"/>
      <c r="F78" s="28" t="n"/>
      <c r="G78" s="19" t="n"/>
      <c r="H78" s="19" t="n"/>
      <c r="I78" s="18" t="n"/>
    </row>
    <row r="79">
      <c r="A79" s="18" t="n"/>
      <c r="B79" s="18" t="n"/>
      <c r="C79" s="18" t="n"/>
      <c r="D79" s="28" t="n"/>
      <c r="E79" s="28" t="n"/>
      <c r="F79" s="28" t="n"/>
      <c r="G79" s="19" t="n"/>
      <c r="H79" s="19" t="n"/>
      <c r="I79" s="18" t="n"/>
    </row>
    <row r="80">
      <c r="A80" s="18" t="n"/>
      <c r="B80" s="18" t="n"/>
      <c r="C80" s="18" t="n"/>
      <c r="D80" s="28" t="n"/>
      <c r="E80" s="28" t="n"/>
      <c r="F80" s="28" t="n"/>
      <c r="G80" s="19" t="n"/>
      <c r="H80" s="19" t="n"/>
      <c r="I80" s="18" t="n"/>
    </row>
    <row r="81">
      <c r="A81" s="18" t="n"/>
      <c r="B81" s="18" t="n"/>
      <c r="C81" s="18" t="n"/>
      <c r="D81" s="28" t="n"/>
      <c r="E81" s="28" t="n"/>
      <c r="F81" s="28" t="n"/>
      <c r="G81" s="19" t="n"/>
      <c r="H81" s="19" t="n"/>
      <c r="I81" s="18" t="n"/>
    </row>
    <row r="82">
      <c r="A82" s="18" t="n"/>
      <c r="B82" s="18" t="n"/>
      <c r="C82" s="18" t="n"/>
      <c r="D82" s="28" t="n"/>
      <c r="E82" s="28" t="n"/>
      <c r="F82" s="28" t="n"/>
      <c r="G82" s="19" t="n"/>
      <c r="H82" s="19" t="n"/>
      <c r="I82" s="18" t="n"/>
    </row>
    <row r="83">
      <c r="A83" s="18" t="n"/>
      <c r="B83" s="18" t="n"/>
      <c r="C83" s="18" t="n"/>
      <c r="D83" s="28" t="n"/>
      <c r="E83" s="28" t="n"/>
      <c r="F83" s="28" t="n"/>
      <c r="G83" s="19" t="n"/>
      <c r="H83" s="19" t="n"/>
      <c r="I83" s="18" t="n"/>
    </row>
    <row r="84">
      <c r="A84" s="18" t="n"/>
      <c r="B84" s="18" t="n"/>
      <c r="C84" s="18" t="n"/>
      <c r="D84" s="28" t="n"/>
      <c r="E84" s="28" t="n"/>
      <c r="F84" s="28" t="n"/>
      <c r="G84" s="19" t="n"/>
      <c r="H84" s="19" t="n"/>
      <c r="I84" s="18" t="n"/>
    </row>
    <row r="85">
      <c r="A85" s="18" t="n"/>
      <c r="B85" s="18" t="n"/>
      <c r="C85" s="18" t="n"/>
      <c r="D85" s="28" t="n"/>
      <c r="E85" s="28" t="n"/>
      <c r="F85" s="28" t="n"/>
      <c r="G85" s="19" t="n"/>
      <c r="H85" s="19" t="n"/>
      <c r="I85" s="18" t="n"/>
    </row>
    <row r="86">
      <c r="A86" s="18" t="n"/>
      <c r="B86" s="18" t="n"/>
      <c r="C86" s="18" t="n"/>
      <c r="D86" s="28" t="n"/>
      <c r="E86" s="28" t="n"/>
      <c r="F86" s="28" t="n"/>
      <c r="G86" s="19" t="n"/>
      <c r="H86" s="19" t="n"/>
      <c r="I86" s="18" t="n"/>
    </row>
    <row r="87">
      <c r="A87" s="18" t="n"/>
      <c r="B87" s="18" t="n"/>
      <c r="C87" s="18" t="n"/>
      <c r="D87" s="28" t="n"/>
      <c r="E87" s="28" t="n"/>
      <c r="F87" s="28" t="n"/>
      <c r="G87" s="19" t="n"/>
      <c r="H87" s="19" t="n"/>
      <c r="I87" s="18" t="n"/>
    </row>
    <row r="88">
      <c r="A88" s="18" t="n"/>
      <c r="B88" s="18" t="n"/>
      <c r="C88" s="18" t="n"/>
      <c r="D88" s="28" t="n"/>
      <c r="E88" s="28" t="n"/>
      <c r="F88" s="28" t="n"/>
      <c r="G88" s="19" t="n"/>
      <c r="H88" s="19" t="n"/>
      <c r="I88" s="18" t="n"/>
    </row>
    <row r="89">
      <c r="A89" s="18" t="n"/>
      <c r="B89" s="18" t="n"/>
      <c r="C89" s="18" t="n"/>
      <c r="D89" s="28" t="n"/>
      <c r="E89" s="28" t="n"/>
      <c r="F89" s="28" t="n"/>
      <c r="G89" s="19" t="n"/>
      <c r="H89" s="19" t="n"/>
      <c r="I89" s="18" t="n"/>
    </row>
    <row r="90">
      <c r="A90" s="18" t="n"/>
      <c r="B90" s="18" t="n"/>
      <c r="C90" s="18" t="n"/>
      <c r="D90" s="28" t="n"/>
      <c r="E90" s="28" t="n"/>
      <c r="F90" s="28" t="n"/>
      <c r="G90" s="19" t="n"/>
      <c r="H90" s="19" t="n"/>
      <c r="I90" s="18" t="n"/>
    </row>
    <row r="91">
      <c r="A91" s="18" t="n"/>
      <c r="B91" s="18" t="n"/>
      <c r="C91" s="18" t="n"/>
      <c r="D91" s="28" t="n"/>
      <c r="E91" s="28" t="n"/>
      <c r="F91" s="28" t="n"/>
      <c r="G91" s="19" t="n"/>
      <c r="H91" s="19" t="n"/>
      <c r="I91" s="18" t="n"/>
    </row>
    <row r="92">
      <c r="A92" s="18" t="n"/>
      <c r="B92" s="18" t="n"/>
      <c r="C92" s="18" t="n"/>
      <c r="D92" s="28" t="n"/>
      <c r="E92" s="28" t="n"/>
      <c r="F92" s="28" t="n"/>
      <c r="G92" s="19" t="n"/>
      <c r="H92" s="19" t="n"/>
      <c r="I92" s="18" t="n"/>
    </row>
    <row r="93">
      <c r="A93" s="18" t="n"/>
      <c r="B93" s="18" t="n"/>
      <c r="C93" s="18" t="n"/>
      <c r="D93" s="28" t="n"/>
      <c r="E93" s="28" t="n"/>
      <c r="F93" s="28" t="n"/>
      <c r="G93" s="19" t="n"/>
      <c r="H93" s="19" t="n"/>
      <c r="I93" s="18" t="n"/>
    </row>
    <row r="94">
      <c r="A94" s="18" t="n"/>
      <c r="B94" s="18" t="n"/>
      <c r="C94" s="18" t="n"/>
      <c r="D94" s="28" t="n"/>
      <c r="E94" s="28" t="n"/>
      <c r="F94" s="28" t="n"/>
      <c r="G94" s="19" t="n"/>
      <c r="H94" s="19" t="n"/>
      <c r="I94" s="18" t="n"/>
    </row>
    <row r="95">
      <c r="A95" s="18" t="n"/>
      <c r="B95" s="18" t="n"/>
      <c r="C95" s="18" t="n"/>
      <c r="D95" s="28" t="n"/>
      <c r="E95" s="28" t="n"/>
      <c r="F95" s="28" t="n"/>
      <c r="G95" s="19" t="n"/>
      <c r="H95" s="19" t="n"/>
      <c r="I95" s="18" t="n"/>
    </row>
    <row r="96">
      <c r="A96" s="18" t="n"/>
      <c r="B96" s="18" t="n"/>
      <c r="C96" s="18" t="n"/>
      <c r="D96" s="28" t="n"/>
      <c r="E96" s="28" t="n"/>
      <c r="F96" s="28" t="n"/>
      <c r="G96" s="19" t="n"/>
      <c r="H96" s="19" t="n"/>
      <c r="I96" s="18" t="n"/>
    </row>
    <row r="97">
      <c r="A97" s="18" t="n"/>
      <c r="B97" s="18" t="n"/>
      <c r="C97" s="18" t="n"/>
      <c r="D97" s="28" t="n"/>
      <c r="E97" s="28" t="n"/>
      <c r="F97" s="28" t="n"/>
      <c r="G97" s="19" t="n"/>
      <c r="H97" s="19" t="n"/>
      <c r="I97" s="18" t="n"/>
    </row>
    <row r="98">
      <c r="A98" s="18" t="n"/>
      <c r="B98" s="18" t="n"/>
      <c r="C98" s="18" t="n"/>
      <c r="D98" s="28" t="n"/>
      <c r="E98" s="28" t="n"/>
      <c r="F98" s="28" t="n"/>
      <c r="G98" s="19" t="n"/>
      <c r="H98" s="19" t="n"/>
      <c r="I98" s="18" t="n"/>
    </row>
    <row r="99">
      <c r="A99" s="18" t="n"/>
      <c r="B99" s="18" t="n"/>
      <c r="C99" s="18" t="n"/>
      <c r="D99" s="28" t="n"/>
      <c r="E99" s="28" t="n"/>
      <c r="F99" s="28" t="n"/>
      <c r="G99" s="19" t="n"/>
      <c r="H99" s="19" t="n"/>
      <c r="I99" s="18" t="n"/>
    </row>
    <row r="100">
      <c r="A100" s="18" t="n"/>
      <c r="B100" s="18" t="n"/>
      <c r="C100" s="18" t="n"/>
      <c r="D100" s="28" t="n"/>
      <c r="E100" s="28" t="n"/>
      <c r="F100" s="28" t="n"/>
      <c r="G100" s="19" t="n"/>
      <c r="H100" s="19" t="n"/>
      <c r="I100" s="18" t="n"/>
    </row>
    <row r="101">
      <c r="A101" s="18" t="n"/>
      <c r="B101" s="18" t="n"/>
      <c r="C101" s="18" t="n"/>
      <c r="D101" s="28" t="n"/>
      <c r="E101" s="28" t="n"/>
      <c r="F101" s="28" t="n"/>
      <c r="G101" s="19" t="n"/>
      <c r="H101" s="19" t="n"/>
      <c r="I101" s="18" t="n"/>
    </row>
    <row r="102">
      <c r="A102" s="18" t="n"/>
      <c r="B102" s="18" t="n"/>
      <c r="C102" s="18" t="n"/>
      <c r="D102" s="28" t="n"/>
      <c r="E102" s="28" t="n"/>
      <c r="F102" s="28" t="n"/>
      <c r="G102" s="19" t="n"/>
      <c r="H102" s="19" t="n"/>
      <c r="I102" s="18" t="n"/>
    </row>
    <row r="103">
      <c r="A103" s="18" t="n"/>
      <c r="B103" s="18" t="n"/>
      <c r="C103" s="18" t="n"/>
      <c r="D103" s="28" t="n"/>
      <c r="E103" s="28" t="n"/>
      <c r="F103" s="28" t="n"/>
      <c r="G103" s="19" t="n"/>
      <c r="H103" s="19" t="n"/>
      <c r="I103" s="18" t="n"/>
    </row>
    <row r="104">
      <c r="A104" s="18" t="n"/>
      <c r="B104" s="18" t="n"/>
      <c r="C104" s="18" t="n"/>
      <c r="D104" s="28" t="n"/>
      <c r="E104" s="28" t="n"/>
      <c r="F104" s="28" t="n"/>
      <c r="G104" s="19" t="n"/>
      <c r="H104" s="19" t="n"/>
      <c r="I104" s="18" t="n"/>
    </row>
    <row r="105">
      <c r="A105" s="18" t="n"/>
      <c r="B105" s="18" t="n"/>
      <c r="C105" s="18" t="n"/>
      <c r="D105" s="28" t="n"/>
      <c r="E105" s="28" t="n"/>
      <c r="F105" s="28" t="n"/>
      <c r="G105" s="19" t="n"/>
      <c r="H105" s="19" t="n"/>
      <c r="I105" s="18" t="n"/>
    </row>
    <row r="106">
      <c r="A106" s="18" t="n"/>
      <c r="B106" s="18" t="n"/>
      <c r="C106" s="18" t="n"/>
      <c r="D106" s="28" t="n"/>
      <c r="E106" s="28" t="n"/>
      <c r="F106" s="28" t="n"/>
      <c r="G106" s="19" t="n"/>
      <c r="H106" s="19" t="n"/>
      <c r="I106" s="18" t="n"/>
    </row>
    <row r="107">
      <c r="A107" s="18" t="n"/>
      <c r="B107" s="18" t="n"/>
      <c r="C107" s="18" t="n"/>
      <c r="D107" s="28" t="n"/>
      <c r="E107" s="28" t="n"/>
      <c r="F107" s="28" t="n"/>
      <c r="G107" s="19" t="n"/>
      <c r="H107" s="19" t="n"/>
      <c r="I107" s="18" t="n"/>
    </row>
    <row r="108">
      <c r="A108" s="18" t="n"/>
      <c r="B108" s="18" t="n"/>
      <c r="C108" s="18" t="n"/>
      <c r="D108" s="28" t="n"/>
      <c r="E108" s="28" t="n"/>
      <c r="F108" s="28" t="n"/>
      <c r="G108" s="19" t="n"/>
      <c r="H108" s="19" t="n"/>
      <c r="I108" s="18" t="n"/>
    </row>
    <row r="109">
      <c r="A109" s="48" t="inlineStr">
        <is>
          <t>← Paste Infor XA data above (up to 100 rows) →</t>
        </is>
      </c>
    </row>
  </sheetData>
  <mergeCells count="4">
    <mergeCell ref="A1:I1"/>
    <mergeCell ref="A109:I109"/>
    <mergeCell ref="A4:I4"/>
    <mergeCell ref="A3:I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C49"/>
  <sheetViews>
    <sheetView workbookViewId="0">
      <selection activeCell="A1" sqref="A1"/>
    </sheetView>
  </sheetViews>
  <sheetFormatPr baseColWidth="8" defaultRowHeight="15"/>
  <cols>
    <col width="3" customWidth="1" min="1" max="1"/>
    <col width="20" customWidth="1" min="2" max="2"/>
    <col width="60" customWidth="1" min="3" max="3"/>
    <col width="3" customWidth="1" min="4" max="4"/>
  </cols>
  <sheetData>
    <row r="1" ht="35" customHeight="1">
      <c r="B1" s="49" t="inlineStr">
        <is>
          <t>QUICK REFERENCE GUIDE</t>
        </is>
      </c>
    </row>
    <row r="3">
      <c r="B3" s="50" t="inlineStr">
        <is>
          <t>500HR SERVICE</t>
        </is>
      </c>
    </row>
    <row r="4">
      <c r="B4" s="4" t="inlineStr">
        <is>
          <t>Enter Magneto P/N</t>
        </is>
      </c>
      <c r="C4" s="51" t="inlineStr">
        <is>
          <t>Type part number in column B (e.g., 10-382320)</t>
        </is>
      </c>
    </row>
    <row r="5">
      <c r="B5" s="4" t="inlineStr">
        <is>
          <t>Price Lookup</t>
        </is>
      </c>
      <c r="C5" s="51" t="inlineStr">
        <is>
          <t>System auto-looks up 5H variant for 500HR price</t>
        </is>
      </c>
    </row>
    <row r="6">
      <c r="B6" s="4" t="inlineStr">
        <is>
          <t>Mark Overhaul</t>
        </is>
      </c>
      <c r="C6" s="51" t="inlineStr">
        <is>
          <t>Set 'Ovhl?' to Yes if unit needs complete overhaul</t>
        </is>
      </c>
    </row>
    <row r="7">
      <c r="B7" s="4" t="inlineStr">
        <is>
          <t>Findings</t>
        </is>
      </c>
      <c r="C7" s="51" t="inlineStr">
        <is>
          <t>Click checkboxes ☐→☑ for any issues found</t>
        </is>
      </c>
    </row>
    <row r="8">
      <c r="B8" s="4" t="inlineStr">
        <is>
          <t>Generate PDF</t>
        </is>
      </c>
      <c r="C8" s="51" t="inlineStr">
        <is>
          <t>Click button or run GenPDF500HR macro</t>
        </is>
      </c>
    </row>
    <row r="9">
      <c r="B9" s="4" t="inlineStr">
        <is>
          <t>Send Email</t>
        </is>
      </c>
      <c r="C9" s="51" t="inlineStr">
        <is>
          <t>Click button - auto-logs to Quote Tracker</t>
        </is>
      </c>
    </row>
    <row r="11">
      <c r="B11" s="50" t="inlineStr">
        <is>
          <t>CUSTOMER PROPERTY</t>
        </is>
      </c>
    </row>
    <row r="12">
      <c r="B12" s="4" t="inlineStr">
        <is>
          <t>Enter Unit P/N</t>
        </is>
      </c>
      <c r="C12" s="51" t="inlineStr">
        <is>
          <t>Use -CO suffix for customer overhaul parts</t>
        </is>
      </c>
    </row>
    <row r="13">
      <c r="B13" s="4" t="inlineStr">
        <is>
          <t>Enter Base Price</t>
        </is>
      </c>
      <c r="C13" s="51" t="inlineStr">
        <is>
          <t>Manual entry - your labor quote</t>
        </is>
      </c>
    </row>
    <row r="14">
      <c r="B14" s="4" t="inlineStr">
        <is>
          <t>Tier Discount</t>
        </is>
      </c>
      <c r="C14" s="51" t="inlineStr">
        <is>
          <t>Select customer tier for automatic discount</t>
        </is>
      </c>
    </row>
    <row r="15">
      <c r="B15" s="4" t="inlineStr">
        <is>
          <t>O&amp;A Parts</t>
        </is>
      </c>
      <c r="C15" s="51" t="inlineStr">
        <is>
          <t>Add over-and-above parts with quantities</t>
        </is>
      </c>
    </row>
    <row r="16">
      <c r="B16" s="4" t="inlineStr">
        <is>
          <t>Order # / PO #</t>
        </is>
      </c>
      <c r="C16" s="51" t="inlineStr">
        <is>
          <t>Optional - shows on PDF if entered</t>
        </is>
      </c>
    </row>
    <row r="18">
      <c r="B18" s="50" t="inlineStr">
        <is>
          <t>EXCHANGE / SALE</t>
        </is>
      </c>
    </row>
    <row r="19">
      <c r="B19" s="4" t="inlineStr">
        <is>
          <t>Enter Part #</t>
        </is>
      </c>
      <c r="C19" s="51" t="inlineStr">
        <is>
          <t>Use -OH suffix for overhauled exchange units</t>
        </is>
      </c>
    </row>
    <row r="20">
      <c r="B20" s="4" t="inlineStr">
        <is>
          <t>Core In Hand</t>
        </is>
      </c>
      <c r="C20" s="51" t="inlineStr">
        <is>
          <t>Set to Yes to waive core charges</t>
        </is>
      </c>
    </row>
    <row r="21">
      <c r="B21" s="4" t="inlineStr">
        <is>
          <t>Quantity</t>
        </is>
      </c>
      <c r="C21" s="51" t="inlineStr">
        <is>
          <t>Enter qty - extended price auto-calculates</t>
        </is>
      </c>
    </row>
    <row r="22">
      <c r="B22" s="4" t="inlineStr">
        <is>
          <t>Stock/Lead</t>
        </is>
      </c>
      <c r="C22" s="51" t="inlineStr">
        <is>
          <t>Auto-pulled from Parts Master</t>
        </is>
      </c>
    </row>
    <row r="24">
      <c r="B24" s="50" t="inlineStr">
        <is>
          <t>QUOTE TRACKER</t>
        </is>
      </c>
    </row>
    <row r="25">
      <c r="B25" s="4" t="inlineStr">
        <is>
          <t>Status</t>
        </is>
      </c>
      <c r="C25" s="51" t="inlineStr">
        <is>
          <t>OPEN = active, CLOSED = complete, ON HOLD = waiting</t>
        </is>
      </c>
    </row>
    <row r="26">
      <c r="B26" s="4" t="inlineStr">
        <is>
          <t>Needs Columns</t>
        </is>
      </c>
      <c r="C26" s="51" t="inlineStr">
        <is>
          <t>Yes = needed, No = not needed, DONE = received</t>
        </is>
      </c>
    </row>
    <row r="27">
      <c r="B27" s="4" t="inlineStr">
        <is>
          <t>Reminders</t>
        </is>
      </c>
      <c r="C27" s="51" t="inlineStr">
        <is>
          <t>Count of follow-up contacts made</t>
        </is>
      </c>
    </row>
    <row r="28">
      <c r="B28" s="4" t="inlineStr">
        <is>
          <t>RED Row</t>
        </is>
      </c>
      <c r="C28" s="51" t="inlineStr">
        <is>
          <t>7+ days since contact - needs follow-up!</t>
        </is>
      </c>
    </row>
    <row r="29">
      <c r="B29" s="4" t="inlineStr">
        <is>
          <t>YELLOW Row</t>
        </is>
      </c>
      <c r="C29" s="51" t="inlineStr">
        <is>
          <t>3-6 days - approaching follow-up time</t>
        </is>
      </c>
    </row>
    <row r="30">
      <c r="B30" s="4" t="inlineStr">
        <is>
          <t>GREEN Row</t>
        </is>
      </c>
      <c r="C30" s="51" t="inlineStr">
        <is>
          <t>Quote is closed</t>
        </is>
      </c>
    </row>
    <row r="32">
      <c r="B32" s="50" t="inlineStr">
        <is>
          <t>PO TRACKING</t>
        </is>
      </c>
    </row>
    <row r="33">
      <c r="B33" s="4" t="inlineStr">
        <is>
          <t>Create Date</t>
        </is>
      </c>
      <c r="C33" s="51" t="inlineStr">
        <is>
          <t>When PO was created/received</t>
        </is>
      </c>
    </row>
    <row r="34">
      <c r="B34" s="4" t="inlineStr">
        <is>
          <t>Complete Date</t>
        </is>
      </c>
      <c r="C34" s="51" t="inlineStr">
        <is>
          <t>When order shipped/completed</t>
        </is>
      </c>
    </row>
    <row r="35">
      <c r="B35" s="4" t="inlineStr">
        <is>
          <t>Days</t>
        </is>
      </c>
      <c r="C35" s="51" t="inlineStr">
        <is>
          <t>Auto-calculated turnaround time</t>
        </is>
      </c>
    </row>
    <row r="36">
      <c r="B36" s="4" t="inlineStr">
        <is>
          <t>YTD Stats</t>
        </is>
      </c>
      <c r="C36" s="51" t="inlineStr">
        <is>
          <t>Summary shows current year performance</t>
        </is>
      </c>
    </row>
    <row r="38">
      <c r="B38" s="50" t="inlineStr">
        <is>
          <t>INFOR XA DATA</t>
        </is>
      </c>
    </row>
    <row r="39">
      <c r="B39" s="4" t="inlineStr">
        <is>
          <t>Purpose</t>
        </is>
      </c>
      <c r="C39" s="51" t="inlineStr">
        <is>
          <t>Import inventory data without IT security issues</t>
        </is>
      </c>
    </row>
    <row r="40">
      <c r="B40" s="4" t="inlineStr">
        <is>
          <t>How To</t>
        </is>
      </c>
      <c r="C40" s="51" t="inlineStr">
        <is>
          <t>Run Power Inquiry in XA → Copy results → Paste here</t>
        </is>
      </c>
    </row>
    <row r="41">
      <c r="B41" s="4" t="inlineStr">
        <is>
          <t>Version</t>
        </is>
      </c>
      <c r="C41" s="51" t="inlineStr">
        <is>
          <t>Update 'Last Updated' and 'Version' after paste</t>
        </is>
      </c>
    </row>
    <row r="42">
      <c r="B42" s="4" t="inlineStr">
        <is>
          <t>Refresh</t>
        </is>
      </c>
      <c r="C42" s="51" t="inlineStr">
        <is>
          <t>Parts Master can reference this for live stock levels</t>
        </is>
      </c>
    </row>
    <row r="44">
      <c r="B44" s="52" t="inlineStr">
        <is>
          <t>PRO TIPS</t>
        </is>
      </c>
    </row>
    <row r="45">
      <c r="B45" t="inlineStr">
        <is>
          <t>•</t>
        </is>
      </c>
      <c r="C45" t="inlineStr">
        <is>
          <t>Use Ctrl+; to enter today's date quickly</t>
        </is>
      </c>
    </row>
    <row r="46">
      <c r="B46" t="inlineStr">
        <is>
          <t>•</t>
        </is>
      </c>
      <c r="C46" t="inlineStr">
        <is>
          <t>Filter Quote Tracker by Status to see only OPEN quotes</t>
        </is>
      </c>
    </row>
    <row r="47">
      <c r="B47" t="inlineStr">
        <is>
          <t>•</t>
        </is>
      </c>
      <c r="C47" t="inlineStr">
        <is>
          <t>Check Quote Tracker weekly for RED rows needing follow-up</t>
        </is>
      </c>
    </row>
    <row r="48">
      <c r="B48" t="inlineStr">
        <is>
          <t>•</t>
        </is>
      </c>
      <c r="C48" t="inlineStr">
        <is>
          <t>Update Infor XA Data weekly for accurate inventory</t>
        </is>
      </c>
    </row>
    <row r="49">
      <c r="B49" t="inlineStr">
        <is>
          <t>•</t>
        </is>
      </c>
      <c r="C49" t="inlineStr">
        <is>
          <t>PO # and Order # are optional but helpful for tracking</t>
        </is>
      </c>
    </row>
  </sheetData>
  <mergeCells count="8">
    <mergeCell ref="B24:C24"/>
    <mergeCell ref="B44:C44"/>
    <mergeCell ref="B38:C38"/>
    <mergeCell ref="B11:C11"/>
    <mergeCell ref="B3:C3"/>
    <mergeCell ref="B32:C32"/>
    <mergeCell ref="B18:C18"/>
    <mergeCell ref="B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32" customWidth="1" min="2" max="2"/>
    <col width="8" customWidth="1" min="3" max="3"/>
    <col width="11" customWidth="1" min="4" max="4"/>
    <col width="11" customWidth="1" min="5" max="5"/>
    <col width="7" customWidth="1" min="6" max="6"/>
    <col width="11" customWidth="1" min="7" max="7"/>
    <col width="25" customWidth="1" min="8" max="8"/>
  </cols>
  <sheetData>
    <row r="1">
      <c r="A1" s="17" t="inlineStr">
        <is>
          <t>Part Number</t>
        </is>
      </c>
      <c r="B1" s="17" t="inlineStr">
        <is>
          <t>Description</t>
        </is>
      </c>
      <c r="C1" s="17" t="inlineStr">
        <is>
          <t>Cond</t>
        </is>
      </c>
      <c r="D1" s="17" t="inlineStr">
        <is>
          <t>List Price</t>
        </is>
      </c>
      <c r="E1" s="17" t="inlineStr">
        <is>
          <t>Core Charge</t>
        </is>
      </c>
      <c r="F1" s="17" t="inlineStr">
        <is>
          <t>Stock</t>
        </is>
      </c>
      <c r="G1" s="17" t="inlineStr">
        <is>
          <t>Lead Time</t>
        </is>
      </c>
      <c r="H1" s="17" t="inlineStr">
        <is>
          <t>Notes</t>
        </is>
      </c>
    </row>
    <row r="2">
      <c r="A2" s="18" t="inlineStr">
        <is>
          <t>10-382320</t>
        </is>
      </c>
      <c r="B2" s="18" t="inlineStr">
        <is>
          <t>S-20/200 Magneto</t>
        </is>
      </c>
      <c r="C2" s="18" t="inlineStr">
        <is>
          <t>Base</t>
        </is>
      </c>
      <c r="D2" s="19" t="n">
        <v>0</v>
      </c>
      <c r="E2" s="19" t="n">
        <v>0</v>
      </c>
      <c r="F2" s="18" t="n">
        <v>0</v>
      </c>
      <c r="G2" s="18" t="inlineStr"/>
      <c r="H2" s="18" t="inlineStr">
        <is>
          <t>Base part</t>
        </is>
      </c>
    </row>
    <row r="3">
      <c r="A3" s="18" t="inlineStr">
        <is>
          <t>10-3823205H</t>
        </is>
      </c>
      <c r="B3" s="18" t="inlineStr">
        <is>
          <t>S-20/200 - 500HR Inspection</t>
        </is>
      </c>
      <c r="C3" s="18" t="inlineStr">
        <is>
          <t>Svc</t>
        </is>
      </c>
      <c r="D3" s="19" t="n">
        <v>575</v>
      </c>
      <c r="E3" s="19" t="n">
        <v>0</v>
      </c>
      <c r="F3" s="18" t="n">
        <v>0</v>
      </c>
      <c r="G3" s="18" t="inlineStr">
        <is>
          <t>3-5 Days</t>
        </is>
      </c>
      <c r="H3" s="18" t="inlineStr">
        <is>
          <t>500HR</t>
        </is>
      </c>
    </row>
    <row r="4">
      <c r="A4" s="18" t="inlineStr">
        <is>
          <t>10-382320-CO</t>
        </is>
      </c>
      <c r="B4" s="18" t="inlineStr">
        <is>
          <t>S-20/200 - Cust Overhaul</t>
        </is>
      </c>
      <c r="C4" s="18" t="inlineStr">
        <is>
          <t>CO</t>
        </is>
      </c>
      <c r="D4" s="19" t="n">
        <v>895</v>
      </c>
      <c r="E4" s="19" t="n">
        <v>0</v>
      </c>
      <c r="F4" s="18" t="n">
        <v>0</v>
      </c>
      <c r="G4" s="18" t="inlineStr">
        <is>
          <t>7-10 Days</t>
        </is>
      </c>
      <c r="H4" s="18" t="inlineStr"/>
    </row>
    <row r="5">
      <c r="A5" s="18" t="inlineStr">
        <is>
          <t>10-382320-OH</t>
        </is>
      </c>
      <c r="B5" s="18" t="inlineStr">
        <is>
          <t>S-20/200 - OH Exchange</t>
        </is>
      </c>
      <c r="C5" s="18" t="inlineStr">
        <is>
          <t>OH</t>
        </is>
      </c>
      <c r="D5" s="19" t="n">
        <v>2495</v>
      </c>
      <c r="E5" s="19" t="n">
        <v>1000</v>
      </c>
      <c r="F5" s="18" t="n">
        <v>5</v>
      </c>
      <c r="G5" s="18" t="inlineStr">
        <is>
          <t>5-7 Days</t>
        </is>
      </c>
      <c r="H5" s="18" t="inlineStr"/>
    </row>
    <row r="6">
      <c r="A6" s="18" t="inlineStr">
        <is>
          <t>10-320680</t>
        </is>
      </c>
      <c r="B6" s="18" t="inlineStr">
        <is>
          <t>S-1200 Magneto</t>
        </is>
      </c>
      <c r="C6" s="18" t="inlineStr">
        <is>
          <t>Base</t>
        </is>
      </c>
      <c r="D6" s="19" t="n">
        <v>0</v>
      </c>
      <c r="E6" s="19" t="n">
        <v>0</v>
      </c>
      <c r="F6" s="18" t="n">
        <v>0</v>
      </c>
      <c r="G6" s="18" t="inlineStr"/>
      <c r="H6" s="18" t="inlineStr">
        <is>
          <t>Base part</t>
        </is>
      </c>
    </row>
    <row r="7">
      <c r="A7" s="18" t="inlineStr">
        <is>
          <t>10-3206805H</t>
        </is>
      </c>
      <c r="B7" s="18" t="inlineStr">
        <is>
          <t>S-1200 - 500HR Inspection</t>
        </is>
      </c>
      <c r="C7" s="18" t="inlineStr">
        <is>
          <t>Svc</t>
        </is>
      </c>
      <c r="D7" s="19" t="n">
        <v>495</v>
      </c>
      <c r="E7" s="19" t="n">
        <v>0</v>
      </c>
      <c r="F7" s="18" t="n">
        <v>0</v>
      </c>
      <c r="G7" s="18" t="inlineStr">
        <is>
          <t>3-5 Days</t>
        </is>
      </c>
      <c r="H7" s="18" t="inlineStr">
        <is>
          <t>500HR</t>
        </is>
      </c>
    </row>
    <row r="8">
      <c r="A8" s="18" t="inlineStr">
        <is>
          <t>10-320680-CO</t>
        </is>
      </c>
      <c r="B8" s="18" t="inlineStr">
        <is>
          <t>S-1200 - Cust Overhaul</t>
        </is>
      </c>
      <c r="C8" s="18" t="inlineStr">
        <is>
          <t>CO</t>
        </is>
      </c>
      <c r="D8" s="19" t="n">
        <v>750</v>
      </c>
      <c r="E8" s="19" t="n">
        <v>0</v>
      </c>
      <c r="F8" s="18" t="n">
        <v>0</v>
      </c>
      <c r="G8" s="18" t="inlineStr">
        <is>
          <t>7-10 Days</t>
        </is>
      </c>
      <c r="H8" s="18" t="inlineStr"/>
    </row>
    <row r="9">
      <c r="A9" s="18" t="inlineStr">
        <is>
          <t>10-320680-OH</t>
        </is>
      </c>
      <c r="B9" s="18" t="inlineStr">
        <is>
          <t>S-1200 - OH Exchange</t>
        </is>
      </c>
      <c r="C9" s="18" t="inlineStr">
        <is>
          <t>OH</t>
        </is>
      </c>
      <c r="D9" s="19" t="n">
        <v>2095</v>
      </c>
      <c r="E9" s="19" t="n">
        <v>800</v>
      </c>
      <c r="F9" s="18" t="n">
        <v>3</v>
      </c>
      <c r="G9" s="18" t="inlineStr">
        <is>
          <t>5-7 Days</t>
        </is>
      </c>
      <c r="H9" s="18" t="inlineStr"/>
    </row>
    <row r="10">
      <c r="A10" s="18" t="inlineStr">
        <is>
          <t>10-391088</t>
        </is>
      </c>
      <c r="B10" s="18" t="inlineStr">
        <is>
          <t>D-2000/D-3000 Magneto</t>
        </is>
      </c>
      <c r="C10" s="18" t="inlineStr">
        <is>
          <t>Base</t>
        </is>
      </c>
      <c r="D10" s="19" t="n">
        <v>0</v>
      </c>
      <c r="E10" s="19" t="n">
        <v>0</v>
      </c>
      <c r="F10" s="18" t="n">
        <v>0</v>
      </c>
      <c r="G10" s="18" t="inlineStr"/>
      <c r="H10" s="18" t="inlineStr">
        <is>
          <t>Base part</t>
        </is>
      </c>
    </row>
    <row r="11">
      <c r="A11" s="18" t="inlineStr">
        <is>
          <t>10-3910885H</t>
        </is>
      </c>
      <c r="B11" s="18" t="inlineStr">
        <is>
          <t>D-2000/D-3000 - 500HR Inspection</t>
        </is>
      </c>
      <c r="C11" s="18" t="inlineStr">
        <is>
          <t>Svc</t>
        </is>
      </c>
      <c r="D11" s="19" t="n">
        <v>695</v>
      </c>
      <c r="E11" s="19" t="n">
        <v>0</v>
      </c>
      <c r="F11" s="18" t="n">
        <v>0</v>
      </c>
      <c r="G11" s="18" t="inlineStr">
        <is>
          <t>3-5 Days</t>
        </is>
      </c>
      <c r="H11" s="18" t="inlineStr">
        <is>
          <t>500HR</t>
        </is>
      </c>
    </row>
    <row r="12">
      <c r="A12" s="18" t="inlineStr">
        <is>
          <t>10-391088-CO</t>
        </is>
      </c>
      <c r="B12" s="18" t="inlineStr">
        <is>
          <t>D-2000/D-3000 - Cust Overhaul</t>
        </is>
      </c>
      <c r="C12" s="18" t="inlineStr">
        <is>
          <t>CO</t>
        </is>
      </c>
      <c r="D12" s="19" t="n">
        <v>1150</v>
      </c>
      <c r="E12" s="19" t="n">
        <v>0</v>
      </c>
      <c r="F12" s="18" t="n">
        <v>0</v>
      </c>
      <c r="G12" s="18" t="inlineStr">
        <is>
          <t>7-10 Days</t>
        </is>
      </c>
      <c r="H12" s="18" t="inlineStr"/>
    </row>
    <row r="13">
      <c r="A13" s="18" t="inlineStr">
        <is>
          <t>10-391088-OH</t>
        </is>
      </c>
      <c r="B13" s="18" t="inlineStr">
        <is>
          <t>D-2000/D-3000 - OH Exchange</t>
        </is>
      </c>
      <c r="C13" s="18" t="inlineStr">
        <is>
          <t>OH</t>
        </is>
      </c>
      <c r="D13" s="19" t="n">
        <v>2850</v>
      </c>
      <c r="E13" s="19" t="n">
        <v>1100</v>
      </c>
      <c r="F13" s="18" t="n">
        <v>2</v>
      </c>
      <c r="G13" s="18" t="inlineStr">
        <is>
          <t>5-7 Days</t>
        </is>
      </c>
      <c r="H13" s="18" t="inlineStr"/>
    </row>
    <row r="14">
      <c r="A14" s="18" t="inlineStr">
        <is>
          <t>10-163020</t>
        </is>
      </c>
      <c r="B14" s="18" t="inlineStr">
        <is>
          <t>Bendix S-20 Magneto</t>
        </is>
      </c>
      <c r="C14" s="18" t="inlineStr">
        <is>
          <t>Base</t>
        </is>
      </c>
      <c r="D14" s="19" t="n">
        <v>0</v>
      </c>
      <c r="E14" s="19" t="n">
        <v>0</v>
      </c>
      <c r="F14" s="18" t="n">
        <v>0</v>
      </c>
      <c r="G14" s="18" t="inlineStr"/>
      <c r="H14" s="18" t="inlineStr">
        <is>
          <t>Base part</t>
        </is>
      </c>
    </row>
    <row r="15">
      <c r="A15" s="18" t="inlineStr">
        <is>
          <t>10-1630205H</t>
        </is>
      </c>
      <c r="B15" s="18" t="inlineStr">
        <is>
          <t>Bendix S-20 - 500HR Inspection</t>
        </is>
      </c>
      <c r="C15" s="18" t="inlineStr">
        <is>
          <t>Svc</t>
        </is>
      </c>
      <c r="D15" s="19" t="n">
        <v>625</v>
      </c>
      <c r="E15" s="19" t="n">
        <v>0</v>
      </c>
      <c r="F15" s="18" t="n">
        <v>0</v>
      </c>
      <c r="G15" s="18" t="inlineStr">
        <is>
          <t>3-5 Days</t>
        </is>
      </c>
      <c r="H15" s="18" t="inlineStr">
        <is>
          <t>500HR</t>
        </is>
      </c>
    </row>
    <row r="16">
      <c r="A16" s="18" t="inlineStr">
        <is>
          <t>10-163020-CO</t>
        </is>
      </c>
      <c r="B16" s="18" t="inlineStr">
        <is>
          <t>Bendix S-20 - Cust Overhaul</t>
        </is>
      </c>
      <c r="C16" s="18" t="inlineStr">
        <is>
          <t>CO</t>
        </is>
      </c>
      <c r="D16" s="19" t="n">
        <v>950</v>
      </c>
      <c r="E16" s="19" t="n">
        <v>0</v>
      </c>
      <c r="F16" s="18" t="n">
        <v>0</v>
      </c>
      <c r="G16" s="18" t="inlineStr">
        <is>
          <t>7-10 Days</t>
        </is>
      </c>
      <c r="H16" s="18" t="inlineStr"/>
    </row>
    <row r="17">
      <c r="A17" s="18" t="inlineStr">
        <is>
          <t>10-163020-OH</t>
        </is>
      </c>
      <c r="B17" s="18" t="inlineStr">
        <is>
          <t>Bendix S-20 - OH Exchange</t>
        </is>
      </c>
      <c r="C17" s="18" t="inlineStr">
        <is>
          <t>OH</t>
        </is>
      </c>
      <c r="D17" s="19" t="n">
        <v>2650</v>
      </c>
      <c r="E17" s="19" t="n">
        <v>950</v>
      </c>
      <c r="F17" s="18" t="n">
        <v>4</v>
      </c>
      <c r="G17" s="18" t="inlineStr">
        <is>
          <t>5-7 Days</t>
        </is>
      </c>
      <c r="H17" s="18" t="inlineStr"/>
    </row>
    <row r="18">
      <c r="A18" s="18" t="inlineStr">
        <is>
          <t>LW-15473</t>
        </is>
      </c>
      <c r="B18" s="18" t="inlineStr">
        <is>
          <t>Impulse Coupling Assembly</t>
        </is>
      </c>
      <c r="C18" s="18" t="inlineStr">
        <is>
          <t>New</t>
        </is>
      </c>
      <c r="D18" s="19" t="n">
        <v>425</v>
      </c>
      <c r="E18" s="19" t="n">
        <v>0</v>
      </c>
      <c r="F18" s="18" t="n">
        <v>12</v>
      </c>
      <c r="G18" s="18" t="inlineStr">
        <is>
          <t>In Stock</t>
        </is>
      </c>
      <c r="H18" s="18" t="inlineStr"/>
    </row>
    <row r="19">
      <c r="A19" s="18" t="inlineStr">
        <is>
          <t>10-357170</t>
        </is>
      </c>
      <c r="B19" s="18" t="inlineStr">
        <is>
          <t>Coil Assembly</t>
        </is>
      </c>
      <c r="C19" s="18" t="inlineStr">
        <is>
          <t>New</t>
        </is>
      </c>
      <c r="D19" s="19" t="n">
        <v>185</v>
      </c>
      <c r="E19" s="19" t="n">
        <v>0</v>
      </c>
      <c r="F19" s="18" t="n">
        <v>20</v>
      </c>
      <c r="G19" s="18" t="inlineStr">
        <is>
          <t>In Stock</t>
        </is>
      </c>
      <c r="H19" s="18" t="inlineStr"/>
    </row>
    <row r="20">
      <c r="A20" s="18" t="inlineStr">
        <is>
          <t>10-357210</t>
        </is>
      </c>
      <c r="B20" s="18" t="inlineStr">
        <is>
          <t>Capacitor</t>
        </is>
      </c>
      <c r="C20" s="18" t="inlineStr">
        <is>
          <t>New</t>
        </is>
      </c>
      <c r="D20" s="19" t="n">
        <v>45</v>
      </c>
      <c r="E20" s="19" t="n">
        <v>0</v>
      </c>
      <c r="F20" s="18" t="n">
        <v>50</v>
      </c>
      <c r="G20" s="18" t="inlineStr">
        <is>
          <t>In Stock</t>
        </is>
      </c>
      <c r="H20" s="18" t="inlineStr"/>
    </row>
    <row r="21">
      <c r="A21" s="18" t="inlineStr">
        <is>
          <t>10-51360</t>
        </is>
      </c>
      <c r="B21" s="18" t="inlineStr">
        <is>
          <t>Distributor Block</t>
        </is>
      </c>
      <c r="C21" s="18" t="inlineStr">
        <is>
          <t>New</t>
        </is>
      </c>
      <c r="D21" s="19" t="n">
        <v>125</v>
      </c>
      <c r="E21" s="19" t="n">
        <v>0</v>
      </c>
      <c r="F21" s="18" t="n">
        <v>15</v>
      </c>
      <c r="G21" s="18" t="inlineStr">
        <is>
          <t>In Stock</t>
        </is>
      </c>
      <c r="H21" s="18" t="inlineStr"/>
    </row>
    <row r="22">
      <c r="A22" s="18" t="inlineStr">
        <is>
          <t>10-51350</t>
        </is>
      </c>
      <c r="B22" s="18" t="inlineStr">
        <is>
          <t>Points Assembly</t>
        </is>
      </c>
      <c r="C22" s="18" t="inlineStr">
        <is>
          <t>New</t>
        </is>
      </c>
      <c r="D22" s="19" t="n">
        <v>85</v>
      </c>
      <c r="E22" s="19" t="n">
        <v>0</v>
      </c>
      <c r="F22" s="18" t="n">
        <v>30</v>
      </c>
      <c r="G22" s="18" t="inlineStr">
        <is>
          <t>In Stock</t>
        </is>
      </c>
      <c r="H22" s="18" t="inlineStr"/>
    </row>
    <row r="23">
      <c r="A23" s="18" t="inlineStr">
        <is>
          <t>10-51340</t>
        </is>
      </c>
      <c r="B23" s="18" t="inlineStr">
        <is>
          <t>Bearing Set</t>
        </is>
      </c>
      <c r="C23" s="18" t="inlineStr">
        <is>
          <t>New</t>
        </is>
      </c>
      <c r="D23" s="19" t="n">
        <v>95</v>
      </c>
      <c r="E23" s="19" t="n">
        <v>0</v>
      </c>
      <c r="F23" s="18" t="n">
        <v>25</v>
      </c>
      <c r="G23" s="18" t="inlineStr">
        <is>
          <t>In Stock</t>
        </is>
      </c>
      <c r="H23" s="18" t="inlineStr"/>
    </row>
    <row r="24">
      <c r="A24" s="18" t="inlineStr">
        <is>
          <t>646942-CO</t>
        </is>
      </c>
      <c r="B24" s="18" t="inlineStr">
        <is>
          <t>Governor - Cust Overhaul</t>
        </is>
      </c>
      <c r="C24" s="18" t="inlineStr">
        <is>
          <t>CO</t>
        </is>
      </c>
      <c r="D24" s="19" t="n">
        <v>1500</v>
      </c>
      <c r="E24" s="19" t="n">
        <v>0</v>
      </c>
      <c r="F24" s="18" t="n">
        <v>0</v>
      </c>
      <c r="G24" s="18" t="inlineStr">
        <is>
          <t>14-21 Days</t>
        </is>
      </c>
      <c r="H24" s="18" t="inlineStr">
        <is>
          <t>Vendor</t>
        </is>
      </c>
    </row>
    <row r="25">
      <c r="A25" s="18" t="inlineStr">
        <is>
          <t>646942-OH</t>
        </is>
      </c>
      <c r="B25" s="18" t="inlineStr">
        <is>
          <t>Governor - OH Exchange</t>
        </is>
      </c>
      <c r="C25" s="18" t="inlineStr">
        <is>
          <t>OH</t>
        </is>
      </c>
      <c r="D25" s="19" t="n">
        <v>3450</v>
      </c>
      <c r="E25" s="19" t="n">
        <v>1500</v>
      </c>
      <c r="F25" s="18" t="n">
        <v>2</v>
      </c>
      <c r="G25" s="18" t="inlineStr">
        <is>
          <t>5-7 Days</t>
        </is>
      </c>
      <c r="H25" s="18" t="inlineStr"/>
    </row>
    <row r="26">
      <c r="A26" s="18" t="inlineStr">
        <is>
          <t>478615-CO</t>
        </is>
      </c>
      <c r="B26" s="18" t="inlineStr">
        <is>
          <t>Turbocharger - Cust Overhaul</t>
        </is>
      </c>
      <c r="C26" s="18" t="inlineStr">
        <is>
          <t>CO</t>
        </is>
      </c>
      <c r="D26" s="19" t="n">
        <v>2800</v>
      </c>
      <c r="E26" s="19" t="n">
        <v>0</v>
      </c>
      <c r="F26" s="18" t="n">
        <v>0</v>
      </c>
      <c r="G26" s="18" t="inlineStr">
        <is>
          <t>21-30 Days</t>
        </is>
      </c>
      <c r="H26" s="18" t="inlineStr">
        <is>
          <t>Vendor</t>
        </is>
      </c>
    </row>
    <row r="27">
      <c r="A27" s="18" t="inlineStr">
        <is>
          <t>478615-OH</t>
        </is>
      </c>
      <c r="B27" s="18" t="inlineStr">
        <is>
          <t>Turbocharger - OH Exchange</t>
        </is>
      </c>
      <c r="C27" s="18" t="inlineStr">
        <is>
          <t>OH</t>
        </is>
      </c>
      <c r="D27" s="19" t="n">
        <v>5800</v>
      </c>
      <c r="E27" s="19" t="n">
        <v>2500</v>
      </c>
      <c r="F27" s="18" t="n">
        <v>1</v>
      </c>
      <c r="G27" s="18" t="inlineStr">
        <is>
          <t>5-7 Days</t>
        </is>
      </c>
      <c r="H27" s="1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17" t="inlineStr">
        <is>
          <t>Parent P/N</t>
        </is>
      </c>
      <c r="B1" s="17" t="inlineStr">
        <is>
          <t>Description</t>
        </is>
      </c>
      <c r="C1" s="17" t="inlineStr">
        <is>
          <t>Component P/N</t>
        </is>
      </c>
      <c r="D1" s="17" t="inlineStr">
        <is>
          <t>Comp Desc</t>
        </is>
      </c>
      <c r="E1" s="17" t="inlineStr">
        <is>
          <t>Qty</t>
        </is>
      </c>
    </row>
    <row r="2">
      <c r="A2" t="inlineStr">
        <is>
          <t>10-382320</t>
        </is>
      </c>
      <c r="B2" t="inlineStr">
        <is>
          <t>S-20/200 Magneto</t>
        </is>
      </c>
      <c r="C2" t="inlineStr">
        <is>
          <t>10-357170</t>
        </is>
      </c>
      <c r="D2" t="inlineStr">
        <is>
          <t>Coil Assembly</t>
        </is>
      </c>
      <c r="E2" t="n">
        <v>1</v>
      </c>
    </row>
    <row r="3">
      <c r="A3" t="inlineStr">
        <is>
          <t>10-382320</t>
        </is>
      </c>
      <c r="B3" t="inlineStr">
        <is>
          <t>S-20/200 Magneto</t>
        </is>
      </c>
      <c r="C3" t="inlineStr">
        <is>
          <t>10-357210</t>
        </is>
      </c>
      <c r="D3" t="inlineStr">
        <is>
          <t>Capacitor</t>
        </is>
      </c>
      <c r="E3" t="n">
        <v>1</v>
      </c>
    </row>
    <row r="4">
      <c r="A4" t="inlineStr">
        <is>
          <t>10-382320</t>
        </is>
      </c>
      <c r="B4" t="inlineStr">
        <is>
          <t>S-20/200 Magneto</t>
        </is>
      </c>
      <c r="C4" t="inlineStr">
        <is>
          <t>10-51360</t>
        </is>
      </c>
      <c r="D4" t="inlineStr">
        <is>
          <t>Distributor Block</t>
        </is>
      </c>
      <c r="E4" t="n">
        <v>1</v>
      </c>
    </row>
    <row r="5">
      <c r="A5" t="inlineStr">
        <is>
          <t>10-320680</t>
        </is>
      </c>
      <c r="B5" t="inlineStr">
        <is>
          <t>S-1200 Magneto</t>
        </is>
      </c>
      <c r="C5" t="inlineStr">
        <is>
          <t>10-357170</t>
        </is>
      </c>
      <c r="D5" t="inlineStr">
        <is>
          <t>Coil Assembly</t>
        </is>
      </c>
      <c r="E5" t="n">
        <v>1</v>
      </c>
    </row>
    <row r="6">
      <c r="A6" t="inlineStr">
        <is>
          <t>10-391088</t>
        </is>
      </c>
      <c r="B6" t="inlineStr">
        <is>
          <t>D-2000/D-3000</t>
        </is>
      </c>
      <c r="C6" t="inlineStr">
        <is>
          <t>10-357170</t>
        </is>
      </c>
      <c r="D6" t="inlineStr">
        <is>
          <t>Coil Assembly</t>
        </is>
      </c>
      <c r="E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2" customWidth="1" min="1" max="1"/>
    <col width="12" customWidth="1" min="2" max="2"/>
    <col width="30" customWidth="1" min="3" max="3"/>
  </cols>
  <sheetData>
    <row r="1">
      <c r="A1" s="53" t="inlineStr">
        <is>
          <t>SYSTEM CONFIGURATION</t>
        </is>
      </c>
    </row>
    <row r="2">
      <c r="A2" s="54" t="inlineStr">
        <is>
          <t>Quote Prefix</t>
        </is>
      </c>
      <c r="B2" s="14" t="inlineStr">
        <is>
          <t>QAA</t>
        </is>
      </c>
      <c r="C2" s="55" t="inlineStr"/>
    </row>
    <row r="3">
      <c r="A3" s="54" t="inlineStr">
        <is>
          <t>Next Quote #</t>
        </is>
      </c>
      <c r="B3" s="14" t="n">
        <v>1</v>
      </c>
      <c r="C3" s="55" t="inlineStr">
        <is>
          <t>Auto-increments</t>
        </is>
      </c>
    </row>
    <row r="4">
      <c r="A4" s="54" t="inlineStr">
        <is>
          <t>Quote Valid Days</t>
        </is>
      </c>
      <c r="B4" s="14" t="n">
        <v>30</v>
      </c>
      <c r="C4" s="55" t="inlineStr"/>
    </row>
    <row r="5">
      <c r="A5" s="54" t="inlineStr">
        <is>
          <t>500HR Default Fee</t>
        </is>
      </c>
      <c r="B5" s="14" t="n">
        <v>550</v>
      </c>
      <c r="C5" s="55" t="inlineStr">
        <is>
          <t>Fallback</t>
        </is>
      </c>
    </row>
    <row r="6">
      <c r="A6" s="54" t="inlineStr">
        <is>
          <t>500HR Findings Fee</t>
        </is>
      </c>
      <c r="B6" s="14" t="n">
        <v>110</v>
      </c>
      <c r="C6" s="55" t="inlineStr">
        <is>
          <t>Per unit</t>
        </is>
      </c>
    </row>
    <row r="7">
      <c r="A7" s="54" t="inlineStr">
        <is>
          <t>Reminder Days</t>
        </is>
      </c>
      <c r="B7" s="14" t="n">
        <v>7</v>
      </c>
      <c r="C7" s="55" t="inlineStr">
        <is>
          <t>Follow-up threshold</t>
        </is>
      </c>
    </row>
    <row r="9">
      <c r="A9" s="32" t="inlineStr">
        <is>
          <t>TIER DISCOUNTS</t>
        </is>
      </c>
    </row>
    <row r="10">
      <c r="A10" t="inlineStr">
        <is>
          <t>Standard</t>
        </is>
      </c>
      <c r="B10" s="56" t="n">
        <v>0</v>
      </c>
    </row>
    <row r="11">
      <c r="A11" t="inlineStr">
        <is>
          <t>Tier 1</t>
        </is>
      </c>
      <c r="B11" s="56" t="n">
        <v>0.07000000000000001</v>
      </c>
    </row>
    <row r="12">
      <c r="A12" t="inlineStr">
        <is>
          <t>Tier 2</t>
        </is>
      </c>
      <c r="B12" s="56" t="n">
        <v>0.1</v>
      </c>
    </row>
    <row r="13">
      <c r="A13" t="inlineStr">
        <is>
          <t>Tier 3</t>
        </is>
      </c>
      <c r="B13" s="56" t="n">
        <v>0.13</v>
      </c>
    </row>
    <row r="15">
      <c r="A15" s="32" t="inlineStr">
        <is>
          <t>VERSION INFO</t>
        </is>
      </c>
    </row>
    <row r="16">
      <c r="A16" t="inlineStr">
        <is>
          <t>System Version:</t>
        </is>
      </c>
      <c r="B16" t="inlineStr">
        <is>
          <t>14.0</t>
        </is>
      </c>
    </row>
    <row r="17">
      <c r="A17" t="inlineStr">
        <is>
          <t>Last Updated:</t>
        </is>
      </c>
      <c r="B17" t="inlineStr">
        <is>
          <t>01/10/2026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2026-01-10T02:29:56Z</dcterms:created>
  <dcterms:modified xsi:type="dcterms:W3CDTF">2026-01-12T21:35:34Z</dcterms:modified>
</cp:coreProperties>
</file>